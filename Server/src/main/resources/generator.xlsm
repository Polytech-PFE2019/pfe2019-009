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etan\Desktop\pfe2019-009\Server\src\main\resources\"/>
    </mc:Choice>
  </mc:AlternateContent>
  <xr:revisionPtr revIDLastSave="0" documentId="13_ncr:1_{BC1437EA-8EB3-4EED-97B8-28F4825DC981}" xr6:coauthVersionLast="41" xr6:coauthVersionMax="41" xr10:uidLastSave="{00000000-0000-0000-0000-000000000000}"/>
  <bookViews>
    <workbookView xWindow="-98" yWindow="-98" windowWidth="22695" windowHeight="14595" xr2:uid="{00000000-000D-0000-FFFF-FFFF00000000}"/>
  </bookViews>
  <sheets>
    <sheet name="Feuil1" sheetId="1" r:id="rId1"/>
  </sheets>
  <definedNames>
    <definedName name="MINECES">"minECES"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85" i="1" l="1"/>
  <c r="AI7" i="1" l="1"/>
  <c r="AG7" i="1"/>
  <c r="U193" i="1" l="1"/>
  <c r="U194" i="1"/>
  <c r="U195" i="1"/>
  <c r="U196" i="1"/>
  <c r="U197" i="1"/>
  <c r="U198" i="1"/>
  <c r="U199" i="1"/>
  <c r="U200" i="1"/>
  <c r="U201" i="1"/>
  <c r="U202" i="1"/>
  <c r="U203" i="1"/>
  <c r="BD85" i="1"/>
  <c r="AY86" i="1" s="1"/>
  <c r="C2" i="1"/>
  <c r="F16" i="1" s="1"/>
  <c r="D18" i="1"/>
  <c r="AE19" i="1" s="1"/>
  <c r="U205" i="1"/>
  <c r="U206" i="1"/>
  <c r="U192" i="1"/>
  <c r="U174" i="1"/>
  <c r="U175" i="1"/>
  <c r="U176" i="1"/>
  <c r="U177" i="1"/>
  <c r="U178" i="1"/>
  <c r="U179" i="1"/>
  <c r="U180" i="1"/>
  <c r="U181" i="1"/>
  <c r="U182" i="1"/>
  <c r="AU85" i="1"/>
  <c r="AN86" i="1" s="1"/>
  <c r="D16" i="1"/>
  <c r="AE17" i="1" s="1"/>
  <c r="D17" i="1"/>
  <c r="AE18" i="1" s="1"/>
  <c r="U185" i="1"/>
  <c r="U186" i="1"/>
  <c r="U187" i="1"/>
  <c r="U173" i="1"/>
  <c r="U155" i="1"/>
  <c r="U156" i="1"/>
  <c r="U157" i="1"/>
  <c r="U158" i="1"/>
  <c r="U159" i="1"/>
  <c r="U160" i="1"/>
  <c r="AG86" i="1"/>
  <c r="D13" i="1"/>
  <c r="AE14" i="1" s="1"/>
  <c r="U162" i="1"/>
  <c r="U163" i="1"/>
  <c r="U164" i="1"/>
  <c r="U165" i="1"/>
  <c r="U166" i="1"/>
  <c r="U167" i="1"/>
  <c r="U168" i="1"/>
  <c r="U154" i="1"/>
  <c r="U136" i="1"/>
  <c r="U137" i="1"/>
  <c r="U138" i="1"/>
  <c r="U139" i="1"/>
  <c r="AC85" i="1"/>
  <c r="X86" i="1" s="1"/>
  <c r="D11" i="1"/>
  <c r="AE12" i="1" s="1"/>
  <c r="U141" i="1"/>
  <c r="U143" i="1"/>
  <c r="U144" i="1"/>
  <c r="U145" i="1"/>
  <c r="U146" i="1"/>
  <c r="U147" i="1"/>
  <c r="U148" i="1"/>
  <c r="U149" i="1"/>
  <c r="U135" i="1"/>
  <c r="U117" i="1"/>
  <c r="U118" i="1"/>
  <c r="U119" i="1"/>
  <c r="U120" i="1"/>
  <c r="T85" i="1"/>
  <c r="O86" i="1" s="1"/>
  <c r="U122" i="1"/>
  <c r="U124" i="1"/>
  <c r="U125" i="1"/>
  <c r="U126" i="1"/>
  <c r="U127" i="1"/>
  <c r="U128" i="1"/>
  <c r="U129" i="1"/>
  <c r="U130" i="1"/>
  <c r="U116" i="1"/>
  <c r="U98" i="1"/>
  <c r="K85" i="1"/>
  <c r="D8" i="1"/>
  <c r="AE9" i="1" s="1"/>
  <c r="D9" i="1"/>
  <c r="AE10" i="1" s="1"/>
  <c r="D10" i="1"/>
  <c r="AE11" i="1" s="1"/>
  <c r="U103" i="1"/>
  <c r="U105" i="1"/>
  <c r="U106" i="1"/>
  <c r="U107" i="1"/>
  <c r="U108" i="1"/>
  <c r="U109" i="1"/>
  <c r="U110" i="1"/>
  <c r="U111" i="1"/>
  <c r="U97" i="1"/>
  <c r="T193" i="1"/>
  <c r="T194" i="1"/>
  <c r="T195" i="1"/>
  <c r="T196" i="1"/>
  <c r="T197" i="1"/>
  <c r="T198" i="1"/>
  <c r="T199" i="1"/>
  <c r="T200" i="1"/>
  <c r="D15" i="1"/>
  <c r="AE16" i="1" s="1"/>
  <c r="T202" i="1"/>
  <c r="T203" i="1"/>
  <c r="D19" i="1"/>
  <c r="T206" i="1"/>
  <c r="T192" i="1"/>
  <c r="T174" i="1"/>
  <c r="T175" i="1"/>
  <c r="T176" i="1"/>
  <c r="T177" i="1"/>
  <c r="T178" i="1"/>
  <c r="T179" i="1"/>
  <c r="T180" i="1"/>
  <c r="T181" i="1"/>
  <c r="T185" i="1"/>
  <c r="T187" i="1"/>
  <c r="T155" i="1"/>
  <c r="T156" i="1"/>
  <c r="T157" i="1"/>
  <c r="T158" i="1"/>
  <c r="T159" i="1"/>
  <c r="T160" i="1"/>
  <c r="T162" i="1"/>
  <c r="T168" i="1"/>
  <c r="T173" i="1"/>
  <c r="T154" i="1"/>
  <c r="T136" i="1"/>
  <c r="T137" i="1"/>
  <c r="T138" i="1"/>
  <c r="T139" i="1"/>
  <c r="T141" i="1"/>
  <c r="T143" i="1"/>
  <c r="T144" i="1"/>
  <c r="T145" i="1"/>
  <c r="T146" i="1"/>
  <c r="T147" i="1"/>
  <c r="T149" i="1"/>
  <c r="T135" i="1"/>
  <c r="D7" i="1"/>
  <c r="AE8" i="1" s="1"/>
  <c r="D12" i="1"/>
  <c r="AE13" i="1" s="1"/>
  <c r="D14" i="1"/>
  <c r="AE15" i="1" s="1"/>
  <c r="T106" i="1"/>
  <c r="T107" i="1"/>
  <c r="T108" i="1"/>
  <c r="T109" i="1"/>
  <c r="D20" i="1"/>
  <c r="AE21" i="1" s="1"/>
  <c r="T117" i="1"/>
  <c r="T118" i="1"/>
  <c r="T119" i="1"/>
  <c r="T120" i="1"/>
  <c r="T125" i="1"/>
  <c r="T126" i="1"/>
  <c r="T127" i="1"/>
  <c r="T128" i="1"/>
  <c r="T116" i="1"/>
  <c r="D6" i="1"/>
  <c r="AE7" i="1" s="1"/>
  <c r="AF7" i="1" s="1"/>
  <c r="AW86" i="1"/>
  <c r="BA86" i="1"/>
  <c r="AR86" i="1"/>
  <c r="AE86" i="1"/>
  <c r="AI86" i="1"/>
  <c r="AH7" i="1"/>
  <c r="AG8" i="1"/>
  <c r="AH8" i="1" s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I8" i="1"/>
  <c r="AJ8" i="1" s="1"/>
  <c r="AJ9" i="1" s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J7" i="1"/>
  <c r="AE20" i="1"/>
  <c r="C30" i="1"/>
  <c r="C29" i="1"/>
  <c r="C28" i="1"/>
  <c r="Y64" i="1"/>
  <c r="U64" i="1"/>
  <c r="Q64" i="1"/>
  <c r="M64" i="1"/>
  <c r="I64" i="1"/>
  <c r="E64" i="1"/>
  <c r="C50" i="1"/>
  <c r="C49" i="1"/>
  <c r="C48" i="1"/>
  <c r="E22" i="1"/>
  <c r="C22" i="1"/>
  <c r="K7" i="1"/>
  <c r="F8" i="1"/>
  <c r="F18" i="1"/>
  <c r="F11" i="1"/>
  <c r="F19" i="1"/>
  <c r="K9" i="1"/>
  <c r="K8" i="1"/>
  <c r="K12" i="1"/>
  <c r="Z86" i="1" l="1"/>
  <c r="AP86" i="1"/>
  <c r="V86" i="1"/>
  <c r="Q86" i="1"/>
  <c r="M86" i="1"/>
  <c r="J15" i="1"/>
  <c r="M12" i="1" s="1"/>
  <c r="AV84" i="1" s="1"/>
  <c r="AH9" i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F86" i="1"/>
  <c r="D86" i="1"/>
  <c r="H86" i="1"/>
  <c r="K10" i="1"/>
  <c r="F10" i="1"/>
  <c r="L15" i="1"/>
  <c r="M15" i="1" s="1"/>
  <c r="F15" i="1"/>
  <c r="F20" i="1"/>
  <c r="F7" i="1"/>
  <c r="F14" i="1"/>
  <c r="F13" i="1"/>
  <c r="F17" i="1"/>
  <c r="K11" i="1"/>
  <c r="F12" i="1"/>
  <c r="F9" i="1"/>
  <c r="J14" i="1"/>
  <c r="F6" i="1"/>
  <c r="AJ10" i="1"/>
  <c r="AJ11" i="1" s="1"/>
  <c r="AJ12" i="1" s="1"/>
  <c r="AJ13" i="1" s="1"/>
  <c r="AJ14" i="1" s="1"/>
  <c r="AJ15" i="1" s="1"/>
  <c r="AJ16" i="1" s="1"/>
  <c r="AJ17" i="1" s="1"/>
  <c r="AJ18" i="1" s="1"/>
  <c r="AJ19" i="1" s="1"/>
  <c r="AJ20" i="1" s="1"/>
  <c r="AJ21" i="1" s="1"/>
  <c r="D22" i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M7" i="1" l="1"/>
  <c r="M8" i="1"/>
  <c r="AV83" i="1"/>
  <c r="D205" i="1" s="1"/>
  <c r="C205" i="1" s="1"/>
  <c r="AV82" i="1"/>
  <c r="D204" i="1" s="1"/>
  <c r="C204" i="1" s="1"/>
  <c r="AV79" i="1"/>
  <c r="D201" i="1" s="1"/>
  <c r="C201" i="1" s="1"/>
  <c r="M11" i="1"/>
  <c r="M10" i="1"/>
  <c r="AD79" i="1" s="1"/>
  <c r="M9" i="1"/>
  <c r="U84" i="1" s="1"/>
  <c r="F22" i="1"/>
  <c r="O7" i="1"/>
  <c r="O8" i="1"/>
  <c r="O9" i="1"/>
  <c r="O12" i="1"/>
  <c r="O11" i="1"/>
  <c r="O10" i="1"/>
  <c r="L81" i="1"/>
  <c r="L82" i="1"/>
  <c r="L83" i="1"/>
  <c r="L75" i="1"/>
  <c r="L84" i="1"/>
  <c r="L76" i="1"/>
  <c r="L78" i="1"/>
  <c r="L77" i="1"/>
  <c r="L80" i="1"/>
  <c r="AD82" i="1"/>
  <c r="AD81" i="1"/>
  <c r="D206" i="1"/>
  <c r="C206" i="1" s="1"/>
  <c r="AM80" i="1"/>
  <c r="AM81" i="1"/>
  <c r="AM83" i="1"/>
  <c r="AM79" i="1"/>
  <c r="AM84" i="1"/>
  <c r="C76" i="1"/>
  <c r="C75" i="1"/>
  <c r="C77" i="1"/>
  <c r="C74" i="1"/>
  <c r="C70" i="1"/>
  <c r="C78" i="1"/>
  <c r="C71" i="1"/>
  <c r="C83" i="1"/>
  <c r="C72" i="1"/>
  <c r="C84" i="1"/>
  <c r="C73" i="1"/>
  <c r="AD84" i="1" l="1"/>
  <c r="C168" i="1" s="1"/>
  <c r="D168" i="1" s="1"/>
  <c r="BA87" i="1"/>
  <c r="BB79" i="1" s="1"/>
  <c r="AV85" i="1"/>
  <c r="P20" i="1" s="1"/>
  <c r="U77" i="1"/>
  <c r="U83" i="1"/>
  <c r="AY87" i="1"/>
  <c r="AY83" i="1" s="1"/>
  <c r="AD77" i="1"/>
  <c r="U75" i="1"/>
  <c r="V87" i="1" s="1"/>
  <c r="AD80" i="1"/>
  <c r="AD85" i="1" s="1"/>
  <c r="AD83" i="1"/>
  <c r="C167" i="1" s="1"/>
  <c r="D167" i="1" s="1"/>
  <c r="AW87" i="1"/>
  <c r="AW83" i="1" s="1"/>
  <c r="F205" i="1" s="1"/>
  <c r="E205" i="1" s="1"/>
  <c r="C149" i="1"/>
  <c r="D149" i="1" s="1"/>
  <c r="C110" i="1"/>
  <c r="D110" i="1" s="1"/>
  <c r="C129" i="1"/>
  <c r="D129" i="1" s="1"/>
  <c r="C98" i="1"/>
  <c r="D98" i="1" s="1"/>
  <c r="D184" i="1"/>
  <c r="C184" i="1" s="1"/>
  <c r="C166" i="1"/>
  <c r="D166" i="1" s="1"/>
  <c r="C128" i="1"/>
  <c r="D128" i="1" s="1"/>
  <c r="C99" i="1"/>
  <c r="D99" i="1" s="1"/>
  <c r="C105" i="1"/>
  <c r="D105" i="1" s="1"/>
  <c r="D183" i="1"/>
  <c r="C183" i="1" s="1"/>
  <c r="C126" i="1"/>
  <c r="D126" i="1" s="1"/>
  <c r="C127" i="1"/>
  <c r="D127" i="1" s="1"/>
  <c r="D186" i="1"/>
  <c r="C186" i="1" s="1"/>
  <c r="C85" i="1"/>
  <c r="C97" i="1"/>
  <c r="D97" i="1" s="1"/>
  <c r="F87" i="1"/>
  <c r="H87" i="1"/>
  <c r="C165" i="1"/>
  <c r="D165" i="1" s="1"/>
  <c r="C123" i="1"/>
  <c r="D123" i="1" s="1"/>
  <c r="C103" i="1"/>
  <c r="D103" i="1" s="1"/>
  <c r="Q12" i="1"/>
  <c r="S12" i="1" s="1"/>
  <c r="V12" i="1" s="1"/>
  <c r="C101" i="1"/>
  <c r="D101" i="1" s="1"/>
  <c r="C163" i="1"/>
  <c r="D163" i="1" s="1"/>
  <c r="C124" i="1"/>
  <c r="D124" i="1" s="1"/>
  <c r="AM85" i="1"/>
  <c r="D182" i="1"/>
  <c r="C182" i="1" s="1"/>
  <c r="AN87" i="1"/>
  <c r="AP87" i="1"/>
  <c r="AR87" i="1"/>
  <c r="C100" i="1"/>
  <c r="D100" i="1" s="1"/>
  <c r="C104" i="1"/>
  <c r="D104" i="1" s="1"/>
  <c r="C142" i="1"/>
  <c r="D142" i="1" s="1"/>
  <c r="AI87" i="1"/>
  <c r="C122" i="1"/>
  <c r="D122" i="1" s="1"/>
  <c r="C121" i="1"/>
  <c r="D121" i="1" s="1"/>
  <c r="L85" i="1"/>
  <c r="O87" i="1"/>
  <c r="M87" i="1"/>
  <c r="Q87" i="1"/>
  <c r="C148" i="1"/>
  <c r="D148" i="1" s="1"/>
  <c r="C111" i="1"/>
  <c r="D111" i="1" s="1"/>
  <c r="C102" i="1"/>
  <c r="D102" i="1" s="1"/>
  <c r="D187" i="1"/>
  <c r="C187" i="1" s="1"/>
  <c r="C130" i="1"/>
  <c r="D130" i="1" s="1"/>
  <c r="C164" i="1" l="1"/>
  <c r="D164" i="1" s="1"/>
  <c r="AE87" i="1"/>
  <c r="AE82" i="1" s="1"/>
  <c r="E166" i="1" s="1"/>
  <c r="F166" i="1" s="1"/>
  <c r="U85" i="1"/>
  <c r="Q8" i="1" s="1"/>
  <c r="S8" i="1" s="1"/>
  <c r="V8" i="1" s="1"/>
  <c r="BA83" i="1"/>
  <c r="BB82" i="1"/>
  <c r="P204" i="1" s="1"/>
  <c r="O204" i="1" s="1"/>
  <c r="AY79" i="1"/>
  <c r="AZ82" i="1"/>
  <c r="AY82" i="1" s="1"/>
  <c r="AG87" i="1"/>
  <c r="C140" i="1"/>
  <c r="D140" i="1" s="1"/>
  <c r="C161" i="1"/>
  <c r="D161" i="1" s="1"/>
  <c r="X87" i="1"/>
  <c r="Y75" i="1" s="1"/>
  <c r="Z87" i="1"/>
  <c r="Z83" i="1" s="1"/>
  <c r="BD87" i="1"/>
  <c r="AX79" i="1"/>
  <c r="AX82" i="1"/>
  <c r="N205" i="1"/>
  <c r="M205" i="1" s="1"/>
  <c r="N76" i="1"/>
  <c r="M81" i="1"/>
  <c r="M75" i="1"/>
  <c r="M80" i="1"/>
  <c r="N78" i="1"/>
  <c r="M82" i="1"/>
  <c r="M83" i="1"/>
  <c r="T87" i="1"/>
  <c r="M84" i="1"/>
  <c r="M77" i="1"/>
  <c r="E123" i="1" s="1"/>
  <c r="F123" i="1" s="1"/>
  <c r="AS79" i="1"/>
  <c r="AS81" i="1"/>
  <c r="AR83" i="1"/>
  <c r="N186" i="1" s="1"/>
  <c r="M186" i="1" s="1"/>
  <c r="AS80" i="1"/>
  <c r="BA79" i="1"/>
  <c r="BA88" i="1"/>
  <c r="P201" i="1"/>
  <c r="O201" i="1" s="1"/>
  <c r="G77" i="1"/>
  <c r="G73" i="1"/>
  <c r="G71" i="1"/>
  <c r="F71" i="1" s="1"/>
  <c r="F76" i="1"/>
  <c r="F83" i="1"/>
  <c r="G74" i="1"/>
  <c r="F84" i="1"/>
  <c r="F78" i="1"/>
  <c r="G72" i="1"/>
  <c r="G70" i="1"/>
  <c r="G75" i="1"/>
  <c r="P17" i="1"/>
  <c r="Q9" i="1"/>
  <c r="S9" i="1" s="1"/>
  <c r="V9" i="1" s="1"/>
  <c r="AP79" i="1"/>
  <c r="AQ80" i="1"/>
  <c r="AP83" i="1"/>
  <c r="AQ81" i="1"/>
  <c r="P15" i="1"/>
  <c r="D87" i="1"/>
  <c r="E70" i="1" s="1"/>
  <c r="D70" i="1" s="1"/>
  <c r="V83" i="1"/>
  <c r="V77" i="1"/>
  <c r="V75" i="1"/>
  <c r="P16" i="1"/>
  <c r="AO81" i="1"/>
  <c r="AN83" i="1"/>
  <c r="AO80" i="1"/>
  <c r="AO79" i="1"/>
  <c r="AU87" i="1"/>
  <c r="J201" i="1"/>
  <c r="I201" i="1" s="1"/>
  <c r="T201" i="1" s="1"/>
  <c r="Y77" i="1"/>
  <c r="Q75" i="1"/>
  <c r="M121" i="1" s="1"/>
  <c r="N121" i="1" s="1"/>
  <c r="Q77" i="1"/>
  <c r="M123" i="1" s="1"/>
  <c r="N123" i="1" s="1"/>
  <c r="Q80" i="1"/>
  <c r="Q81" i="1"/>
  <c r="M127" i="1" s="1"/>
  <c r="N127" i="1" s="1"/>
  <c r="Q83" i="1"/>
  <c r="M129" i="1" s="1"/>
  <c r="N129" i="1" s="1"/>
  <c r="R76" i="1"/>
  <c r="R78" i="1"/>
  <c r="Q82" i="1"/>
  <c r="P18" i="1"/>
  <c r="Q10" i="1"/>
  <c r="S10" i="1" s="1"/>
  <c r="V10" i="1" s="1"/>
  <c r="O83" i="1"/>
  <c r="O78" i="1"/>
  <c r="P75" i="1"/>
  <c r="O84" i="1"/>
  <c r="O76" i="1"/>
  <c r="P77" i="1"/>
  <c r="P19" i="1"/>
  <c r="Q11" i="1"/>
  <c r="S11" i="1" s="1"/>
  <c r="V11" i="1" s="1"/>
  <c r="J205" i="1"/>
  <c r="I205" i="1" s="1"/>
  <c r="T205" i="1" s="1"/>
  <c r="AI82" i="1"/>
  <c r="AI83" i="1"/>
  <c r="M167" i="1" s="1"/>
  <c r="N167" i="1" s="1"/>
  <c r="AI81" i="1"/>
  <c r="AI77" i="1"/>
  <c r="AI79" i="1"/>
  <c r="M163" i="1" s="1"/>
  <c r="N163" i="1" s="1"/>
  <c r="AI80" i="1"/>
  <c r="I72" i="1"/>
  <c r="H75" i="1"/>
  <c r="I71" i="1"/>
  <c r="H78" i="1"/>
  <c r="M105" i="1" s="1"/>
  <c r="N105" i="1" s="1"/>
  <c r="J73" i="1"/>
  <c r="I70" i="1"/>
  <c r="H76" i="1"/>
  <c r="H83" i="1"/>
  <c r="M110" i="1" s="1"/>
  <c r="N110" i="1" s="1"/>
  <c r="J74" i="1"/>
  <c r="H77" i="1"/>
  <c r="Z75" i="1" l="1"/>
  <c r="M140" i="1" s="1"/>
  <c r="N140" i="1" s="1"/>
  <c r="Z77" i="1"/>
  <c r="AC87" i="1"/>
  <c r="X83" i="1"/>
  <c r="I148" i="1" s="1"/>
  <c r="T148" i="1" s="1"/>
  <c r="AE81" i="1"/>
  <c r="E165" i="1" s="1"/>
  <c r="F165" i="1" s="1"/>
  <c r="AE83" i="1"/>
  <c r="E167" i="1" s="1"/>
  <c r="F167" i="1" s="1"/>
  <c r="AL87" i="1"/>
  <c r="AE77" i="1"/>
  <c r="AE79" i="1"/>
  <c r="E163" i="1" s="1"/>
  <c r="F163" i="1" s="1"/>
  <c r="AE80" i="1"/>
  <c r="E164" i="1" s="1"/>
  <c r="F164" i="1" s="1"/>
  <c r="AY88" i="1"/>
  <c r="L204" i="1"/>
  <c r="K204" i="1" s="1"/>
  <c r="AG79" i="1"/>
  <c r="I163" i="1" s="1"/>
  <c r="T163" i="1" s="1"/>
  <c r="AG81" i="1"/>
  <c r="I165" i="1" s="1"/>
  <c r="T165" i="1" s="1"/>
  <c r="AG83" i="1"/>
  <c r="AG82" i="1"/>
  <c r="I166" i="1" s="1"/>
  <c r="T166" i="1" s="1"/>
  <c r="AH77" i="1"/>
  <c r="K161" i="1" s="1"/>
  <c r="L161" i="1" s="1"/>
  <c r="AG80" i="1"/>
  <c r="I164" i="1" s="1"/>
  <c r="T164" i="1" s="1"/>
  <c r="BA82" i="1"/>
  <c r="N204" i="1" s="1"/>
  <c r="M204" i="1" s="1"/>
  <c r="H204" i="1"/>
  <c r="G204" i="1" s="1"/>
  <c r="AW82" i="1"/>
  <c r="F204" i="1" s="1"/>
  <c r="E204" i="1" s="1"/>
  <c r="AW88" i="1"/>
  <c r="H201" i="1"/>
  <c r="G201" i="1" s="1"/>
  <c r="AW79" i="1"/>
  <c r="F201" i="1" s="1"/>
  <c r="E201" i="1" s="1"/>
  <c r="I110" i="1"/>
  <c r="T110" i="1" s="1"/>
  <c r="P183" i="1"/>
  <c r="O183" i="1" s="1"/>
  <c r="AR80" i="1"/>
  <c r="N183" i="1" s="1"/>
  <c r="M183" i="1" s="1"/>
  <c r="E128" i="1"/>
  <c r="F128" i="1" s="1"/>
  <c r="H70" i="1"/>
  <c r="M97" i="1" s="1"/>
  <c r="N97" i="1" s="1"/>
  <c r="O97" i="1"/>
  <c r="P97" i="1" s="1"/>
  <c r="M161" i="1"/>
  <c r="N161" i="1" s="1"/>
  <c r="AI88" i="1"/>
  <c r="O75" i="1"/>
  <c r="K121" i="1"/>
  <c r="L121" i="1" s="1"/>
  <c r="AN79" i="1"/>
  <c r="H182" i="1"/>
  <c r="G182" i="1" s="1"/>
  <c r="AN88" i="1"/>
  <c r="I103" i="1"/>
  <c r="T103" i="1" s="1"/>
  <c r="G124" i="1"/>
  <c r="H124" i="1" s="1"/>
  <c r="M78" i="1"/>
  <c r="E148" i="1"/>
  <c r="F148" i="1" s="1"/>
  <c r="M165" i="1"/>
  <c r="N165" i="1" s="1"/>
  <c r="M128" i="1"/>
  <c r="N128" i="1" s="1"/>
  <c r="K102" i="1"/>
  <c r="F75" i="1"/>
  <c r="I129" i="1"/>
  <c r="T129" i="1" s="1"/>
  <c r="Q78" i="1"/>
  <c r="O124" i="1"/>
  <c r="P124" i="1" s="1"/>
  <c r="F186" i="1"/>
  <c r="E186" i="1" s="1"/>
  <c r="F70" i="1"/>
  <c r="F88" i="1"/>
  <c r="F73" i="1"/>
  <c r="K100" i="1"/>
  <c r="L100" i="1" s="1"/>
  <c r="P182" i="1"/>
  <c r="O182" i="1" s="1"/>
  <c r="AR88" i="1"/>
  <c r="AR79" i="1"/>
  <c r="E121" i="1"/>
  <c r="F121" i="1" s="1"/>
  <c r="O88" i="1"/>
  <c r="I124" i="1"/>
  <c r="T124" i="1" s="1"/>
  <c r="E72" i="1"/>
  <c r="D84" i="1"/>
  <c r="E111" i="1" s="1"/>
  <c r="F111" i="1" s="1"/>
  <c r="E73" i="1"/>
  <c r="E74" i="1"/>
  <c r="D83" i="1"/>
  <c r="D75" i="1"/>
  <c r="D76" i="1"/>
  <c r="D78" i="1"/>
  <c r="E71" i="1"/>
  <c r="D77" i="1"/>
  <c r="E104" i="1" s="1"/>
  <c r="F104" i="1" s="1"/>
  <c r="K87" i="1"/>
  <c r="O98" i="1"/>
  <c r="P98" i="1" s="1"/>
  <c r="H71" i="1"/>
  <c r="Q76" i="1"/>
  <c r="O122" i="1"/>
  <c r="P122" i="1" s="1"/>
  <c r="K140" i="1"/>
  <c r="L140" i="1" s="1"/>
  <c r="X75" i="1"/>
  <c r="H184" i="1"/>
  <c r="G184" i="1" s="1"/>
  <c r="AN81" i="1"/>
  <c r="AP81" i="1"/>
  <c r="L184" i="1"/>
  <c r="K184" i="1" s="1"/>
  <c r="K99" i="1"/>
  <c r="L99" i="1" s="1"/>
  <c r="F72" i="1"/>
  <c r="F77" i="1"/>
  <c r="K104" i="1"/>
  <c r="L104" i="1" s="1"/>
  <c r="E127" i="1"/>
  <c r="F127" i="1" s="1"/>
  <c r="AN80" i="1"/>
  <c r="F183" i="1" s="1"/>
  <c r="E183" i="1" s="1"/>
  <c r="H183" i="1"/>
  <c r="G183" i="1" s="1"/>
  <c r="M88" i="1"/>
  <c r="E126" i="1"/>
  <c r="F126" i="1" s="1"/>
  <c r="M104" i="1"/>
  <c r="N104" i="1" s="1"/>
  <c r="H88" i="1"/>
  <c r="M102" i="1"/>
  <c r="N102" i="1" s="1"/>
  <c r="M148" i="1"/>
  <c r="N148" i="1" s="1"/>
  <c r="J204" i="1"/>
  <c r="I204" i="1" s="1"/>
  <c r="T204" i="1" s="1"/>
  <c r="J186" i="1"/>
  <c r="I186" i="1" s="1"/>
  <c r="T186" i="1" s="1"/>
  <c r="I105" i="1"/>
  <c r="T105" i="1" s="1"/>
  <c r="E130" i="1"/>
  <c r="F130" i="1" s="1"/>
  <c r="M76" i="1"/>
  <c r="E122" i="1" s="1"/>
  <c r="F122" i="1" s="1"/>
  <c r="G122" i="1"/>
  <c r="H122" i="1" s="1"/>
  <c r="M103" i="1"/>
  <c r="N103" i="1" s="1"/>
  <c r="AR81" i="1"/>
  <c r="N184" i="1" s="1"/>
  <c r="M184" i="1" s="1"/>
  <c r="P184" i="1"/>
  <c r="O184" i="1" s="1"/>
  <c r="M166" i="1"/>
  <c r="N166" i="1" s="1"/>
  <c r="H72" i="1"/>
  <c r="M99" i="1" s="1"/>
  <c r="N99" i="1" s="1"/>
  <c r="O99" i="1"/>
  <c r="P99" i="1" s="1"/>
  <c r="M142" i="1"/>
  <c r="N142" i="1" s="1"/>
  <c r="V88" i="1"/>
  <c r="E140" i="1"/>
  <c r="F140" i="1" s="1"/>
  <c r="L183" i="1"/>
  <c r="K183" i="1" s="1"/>
  <c r="AP88" i="1"/>
  <c r="AP80" i="1"/>
  <c r="J183" i="1" s="1"/>
  <c r="I183" i="1" s="1"/>
  <c r="T183" i="1" s="1"/>
  <c r="I111" i="1"/>
  <c r="T111" i="1" s="1"/>
  <c r="I130" i="1"/>
  <c r="T130" i="1" s="1"/>
  <c r="I73" i="1"/>
  <c r="Q100" i="1"/>
  <c r="R100" i="1" s="1"/>
  <c r="X88" i="1"/>
  <c r="K142" i="1"/>
  <c r="X77" i="1"/>
  <c r="I98" i="1"/>
  <c r="T98" i="1" s="1"/>
  <c r="Q101" i="1"/>
  <c r="R101" i="1" s="1"/>
  <c r="I74" i="1"/>
  <c r="O77" i="1"/>
  <c r="K123" i="1"/>
  <c r="L123" i="1" s="1"/>
  <c r="M164" i="1"/>
  <c r="N164" i="1" s="1"/>
  <c r="I122" i="1"/>
  <c r="T122" i="1" s="1"/>
  <c r="M126" i="1"/>
  <c r="N126" i="1" s="1"/>
  <c r="Q88" i="1"/>
  <c r="I167" i="1"/>
  <c r="T167" i="1" s="1"/>
  <c r="E142" i="1"/>
  <c r="F142" i="1" s="1"/>
  <c r="J182" i="1"/>
  <c r="I182" i="1" s="1"/>
  <c r="T182" i="1" s="1"/>
  <c r="F74" i="1"/>
  <c r="K101" i="1"/>
  <c r="N201" i="1"/>
  <c r="M201" i="1" s="1"/>
  <c r="E129" i="1"/>
  <c r="F129" i="1" s="1"/>
  <c r="Z88" i="1" l="1"/>
  <c r="AE88" i="1"/>
  <c r="E161" i="1"/>
  <c r="F161" i="1" s="1"/>
  <c r="U204" i="1"/>
  <c r="BD88" i="1"/>
  <c r="J129" i="1"/>
  <c r="AG77" i="1"/>
  <c r="I161" i="1" s="1"/>
  <c r="T161" i="1" s="1"/>
  <c r="U161" i="1" s="1"/>
  <c r="Q20" i="1"/>
  <c r="R12" i="1"/>
  <c r="T12" i="1" s="1"/>
  <c r="X12" i="1" s="1"/>
  <c r="W12" i="1" s="1"/>
  <c r="J163" i="1"/>
  <c r="J110" i="1"/>
  <c r="AU88" i="1"/>
  <c r="Q19" i="1" s="1"/>
  <c r="J103" i="1"/>
  <c r="J122" i="1"/>
  <c r="J98" i="1"/>
  <c r="J111" i="1"/>
  <c r="J164" i="1"/>
  <c r="J105" i="1"/>
  <c r="M122" i="1"/>
  <c r="N122" i="1" s="1"/>
  <c r="I101" i="1"/>
  <c r="T101" i="1" s="1"/>
  <c r="U101" i="1" s="1"/>
  <c r="J167" i="1"/>
  <c r="J130" i="1"/>
  <c r="M98" i="1"/>
  <c r="N98" i="1" s="1"/>
  <c r="E102" i="1"/>
  <c r="F102" i="1" s="1"/>
  <c r="I100" i="1"/>
  <c r="T100" i="1" s="1"/>
  <c r="U100" i="1" s="1"/>
  <c r="M124" i="1"/>
  <c r="N124" i="1" s="1"/>
  <c r="F182" i="1"/>
  <c r="E182" i="1" s="1"/>
  <c r="L142" i="1"/>
  <c r="J165" i="1"/>
  <c r="J166" i="1"/>
  <c r="T88" i="1"/>
  <c r="D74" i="1"/>
  <c r="G101" i="1"/>
  <c r="H101" i="1" s="1"/>
  <c r="I97" i="1"/>
  <c r="T97" i="1" s="1"/>
  <c r="E110" i="1"/>
  <c r="F110" i="1" s="1"/>
  <c r="U183" i="1"/>
  <c r="I99" i="1"/>
  <c r="T99" i="1" s="1"/>
  <c r="U99" i="1" s="1"/>
  <c r="G97" i="1"/>
  <c r="H97" i="1" s="1"/>
  <c r="D88" i="1"/>
  <c r="K88" i="1" s="1"/>
  <c r="Q15" i="1" s="1"/>
  <c r="G100" i="1"/>
  <c r="H100" i="1" s="1"/>
  <c r="D73" i="1"/>
  <c r="N182" i="1"/>
  <c r="M182" i="1" s="1"/>
  <c r="I102" i="1"/>
  <c r="T102" i="1" s="1"/>
  <c r="U102" i="1" s="1"/>
  <c r="I121" i="1"/>
  <c r="T121" i="1" s="1"/>
  <c r="U121" i="1" s="1"/>
  <c r="I140" i="1"/>
  <c r="T140" i="1" s="1"/>
  <c r="U140" i="1" s="1"/>
  <c r="E124" i="1"/>
  <c r="F124" i="1" s="1"/>
  <c r="E103" i="1"/>
  <c r="F103" i="1" s="1"/>
  <c r="F184" i="1"/>
  <c r="E184" i="1" s="1"/>
  <c r="I123" i="1"/>
  <c r="T123" i="1" s="1"/>
  <c r="U123" i="1" s="1"/>
  <c r="H74" i="1"/>
  <c r="O101" i="1"/>
  <c r="P101" i="1" s="1"/>
  <c r="H73" i="1"/>
  <c r="M100" i="1" s="1"/>
  <c r="N100" i="1" s="1"/>
  <c r="O100" i="1"/>
  <c r="P100" i="1" s="1"/>
  <c r="G98" i="1"/>
  <c r="H98" i="1" s="1"/>
  <c r="D71" i="1"/>
  <c r="D72" i="1"/>
  <c r="G99" i="1"/>
  <c r="H99" i="1" s="1"/>
  <c r="J148" i="1"/>
  <c r="L102" i="1"/>
  <c r="I142" i="1"/>
  <c r="T142" i="1" s="1"/>
  <c r="U142" i="1" s="1"/>
  <c r="AC88" i="1"/>
  <c r="I104" i="1"/>
  <c r="T104" i="1" s="1"/>
  <c r="U104" i="1" s="1"/>
  <c r="L101" i="1"/>
  <c r="J184" i="1"/>
  <c r="I184" i="1" s="1"/>
  <c r="T184" i="1" s="1"/>
  <c r="U184" i="1" s="1"/>
  <c r="E105" i="1"/>
  <c r="F105" i="1" s="1"/>
  <c r="J124" i="1"/>
  <c r="AG88" i="1" l="1"/>
  <c r="AL88" i="1" s="1"/>
  <c r="R10" i="1" s="1"/>
  <c r="T10" i="1" s="1"/>
  <c r="R11" i="1"/>
  <c r="T11" i="1" s="1"/>
  <c r="X11" i="1" s="1"/>
  <c r="W11" i="1" s="1"/>
  <c r="L20" i="1"/>
  <c r="M20" i="1" s="1"/>
  <c r="J142" i="1"/>
  <c r="J161" i="1"/>
  <c r="J97" i="1"/>
  <c r="M101" i="1"/>
  <c r="N101" i="1" s="1"/>
  <c r="E101" i="1"/>
  <c r="F101" i="1" s="1"/>
  <c r="J123" i="1"/>
  <c r="R8" i="1"/>
  <c r="T8" i="1" s="1"/>
  <c r="Q16" i="1"/>
  <c r="E100" i="1"/>
  <c r="F100" i="1" s="1"/>
  <c r="J140" i="1"/>
  <c r="J100" i="1"/>
  <c r="J101" i="1"/>
  <c r="E97" i="1"/>
  <c r="F97" i="1" s="1"/>
  <c r="J104" i="1"/>
  <c r="J102" i="1"/>
  <c r="E99" i="1"/>
  <c r="F99" i="1" s="1"/>
  <c r="R9" i="1"/>
  <c r="T9" i="1" s="1"/>
  <c r="Q17" i="1"/>
  <c r="E98" i="1"/>
  <c r="F98" i="1" s="1"/>
  <c r="J121" i="1"/>
  <c r="J99" i="1"/>
  <c r="Q18" i="1" l="1"/>
  <c r="L19" i="1"/>
  <c r="M19" i="1" s="1"/>
  <c r="X9" i="1"/>
  <c r="W9" i="1" s="1"/>
  <c r="L17" i="1"/>
  <c r="M17" i="1" s="1"/>
  <c r="L18" i="1"/>
  <c r="M18" i="1" s="1"/>
  <c r="X10" i="1"/>
  <c r="W10" i="1" s="1"/>
  <c r="L16" i="1"/>
  <c r="M16" i="1" s="1"/>
  <c r="X8" i="1"/>
  <c r="W8" i="1" s="1"/>
</calcChain>
</file>

<file path=xl/sharedStrings.xml><?xml version="1.0" encoding="utf-8"?>
<sst xmlns="http://schemas.openxmlformats.org/spreadsheetml/2006/main" count="731" uniqueCount="84">
  <si>
    <t xml:space="preserve">Durée du projet </t>
  </si>
  <si>
    <t xml:space="preserve">Prix du projet </t>
  </si>
  <si>
    <t>(kopec)</t>
  </si>
  <si>
    <t xml:space="preserve">Phase </t>
  </si>
  <si>
    <t>Détail étape</t>
  </si>
  <si>
    <t>Durée %</t>
  </si>
  <si>
    <t xml:space="preserve">Durée projet </t>
  </si>
  <si>
    <t>Prix %</t>
  </si>
  <si>
    <t xml:space="preserve">Prix </t>
  </si>
  <si>
    <t>Argent / ressources</t>
  </si>
  <si>
    <t>Etudes préalables</t>
  </si>
  <si>
    <t>L'enveloppe financière</t>
  </si>
  <si>
    <t>Budget fiche</t>
  </si>
  <si>
    <t>Ress. Min. %</t>
  </si>
  <si>
    <t>Ress. Min.</t>
  </si>
  <si>
    <t>Ress. Max. %</t>
  </si>
  <si>
    <t>Ress. Max.</t>
  </si>
  <si>
    <t>Fourchette Négo</t>
  </si>
  <si>
    <t>Contrat type</t>
  </si>
  <si>
    <t>Durée étape</t>
  </si>
  <si>
    <t>Cumulé</t>
  </si>
  <si>
    <t>Qualité max</t>
  </si>
  <si>
    <t>Risques</t>
  </si>
  <si>
    <t>Risques cumul.</t>
  </si>
  <si>
    <t>Libération de l'emprise foncière</t>
  </si>
  <si>
    <t>Maitre d'ouvrage</t>
  </si>
  <si>
    <t>Min</t>
  </si>
  <si>
    <t>Moy</t>
  </si>
  <si>
    <t>Max</t>
  </si>
  <si>
    <t xml:space="preserve">Faisabilité de l'opération </t>
  </si>
  <si>
    <t xml:space="preserve">Maitre d'œuvre </t>
  </si>
  <si>
    <t>Programmation</t>
  </si>
  <si>
    <t xml:space="preserve">Bureau d'étude </t>
  </si>
  <si>
    <t>Phase d'étude</t>
  </si>
  <si>
    <t xml:space="preserve">Mise en place de l'équipe projet </t>
  </si>
  <si>
    <t xml:space="preserve">Bureau de control </t>
  </si>
  <si>
    <t xml:space="preserve">Etude d'avant projet sommaire </t>
  </si>
  <si>
    <t xml:space="preserve">Entreprise GO </t>
  </si>
  <si>
    <t>Permis de construire</t>
  </si>
  <si>
    <t>Entreprise CES</t>
  </si>
  <si>
    <t>Etude d'avant projet détaillé</t>
  </si>
  <si>
    <t xml:space="preserve">Phase de passation des marchés </t>
  </si>
  <si>
    <t xml:space="preserve">Consultation des marchés </t>
  </si>
  <si>
    <t>Ressources MAX</t>
  </si>
  <si>
    <t xml:space="preserve">Argent début </t>
  </si>
  <si>
    <t>Phase travaux</t>
  </si>
  <si>
    <t xml:space="preserve">Préparation de chantier </t>
  </si>
  <si>
    <t>Ressources MIN</t>
  </si>
  <si>
    <t>Terrassement et fondation</t>
  </si>
  <si>
    <t>Gros œuvre</t>
  </si>
  <si>
    <t>Second œuvre</t>
  </si>
  <si>
    <t xml:space="preserve">Phase de clôture de l'opération </t>
  </si>
  <si>
    <t xml:space="preserve">Livraison et réception </t>
  </si>
  <si>
    <t>Achèvement des marchés</t>
  </si>
  <si>
    <t xml:space="preserve">Action des joueurs </t>
  </si>
  <si>
    <t>A piocher</t>
  </si>
  <si>
    <t>Maitre d'œuvre</t>
  </si>
  <si>
    <t xml:space="preserve">Bureau d'etude </t>
  </si>
  <si>
    <t>Bureau de control</t>
  </si>
  <si>
    <t>Entreprise GO</t>
  </si>
  <si>
    <t xml:space="preserve">Nbr risques </t>
  </si>
  <si>
    <t>Nbr qualité</t>
  </si>
  <si>
    <t>Cout</t>
  </si>
  <si>
    <t xml:space="preserve">Risque </t>
  </si>
  <si>
    <t xml:space="preserve">Délais </t>
  </si>
  <si>
    <t>Qualité</t>
  </si>
  <si>
    <t>x</t>
  </si>
  <si>
    <t>Nombre de mise possible</t>
  </si>
  <si>
    <t xml:space="preserve">Nombre de ressources à mettre </t>
  </si>
  <si>
    <t xml:space="preserve">Nombre de case à remplir </t>
  </si>
  <si>
    <t xml:space="preserve">Pourcentage </t>
  </si>
  <si>
    <t xml:space="preserve">Ressources disponible </t>
  </si>
  <si>
    <t>Ressources mises max</t>
  </si>
  <si>
    <t>Feuil17</t>
  </si>
  <si>
    <t>Différenciation des ressouces</t>
  </si>
  <si>
    <t>Risque 1</t>
  </si>
  <si>
    <t>Risque 2</t>
  </si>
  <si>
    <t>Délais 1</t>
  </si>
  <si>
    <t>Délais 2</t>
  </si>
  <si>
    <t>Qualité 1</t>
  </si>
  <si>
    <t>Qualité 2</t>
  </si>
  <si>
    <t>Qualité 3</t>
  </si>
  <si>
    <t>Materielle</t>
  </si>
  <si>
    <t xml:space="preserve">Humaine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</si>
</sst>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1" fontId="0" fillId="0" borderId="1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165" fontId="0" fillId="0" borderId="1" xfId="2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9" fontId="0" fillId="0" borderId="1" xfId="2" applyFont="1" applyBorder="1"/>
    <xf numFmtId="9" fontId="0" fillId="0" borderId="11" xfId="2" applyFont="1" applyBorder="1"/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165" fontId="0" fillId="0" borderId="11" xfId="2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0" xfId="0" applyNumberFormat="1"/>
    <xf numFmtId="9" fontId="0" fillId="0" borderId="0" xfId="0" applyNumberFormat="1"/>
    <xf numFmtId="9" fontId="0" fillId="0" borderId="1" xfId="0" applyNumberFormat="1" applyBorder="1"/>
    <xf numFmtId="9" fontId="0" fillId="0" borderId="11" xfId="0" applyNumberFormat="1" applyBorder="1"/>
    <xf numFmtId="1" fontId="0" fillId="0" borderId="1" xfId="0" applyNumberFormat="1" applyBorder="1"/>
    <xf numFmtId="1" fontId="0" fillId="0" borderId="9" xfId="0" applyNumberFormat="1" applyBorder="1"/>
    <xf numFmtId="1" fontId="0" fillId="0" borderId="11" xfId="0" applyNumberFormat="1" applyBorder="1"/>
    <xf numFmtId="1" fontId="0" fillId="0" borderId="12" xfId="0" applyNumberFormat="1" applyBorder="1"/>
    <xf numFmtId="1" fontId="0" fillId="0" borderId="1" xfId="2" applyNumberFormat="1" applyFont="1" applyBorder="1" applyAlignment="1">
      <alignment horizontal="center" vertical="center"/>
    </xf>
    <xf numFmtId="1" fontId="0" fillId="0" borderId="11" xfId="2" applyNumberFormat="1" applyFont="1" applyBorder="1" applyAlignment="1">
      <alignment horizontal="center" vertical="center"/>
    </xf>
    <xf numFmtId="0" fontId="4" fillId="0" borderId="0" xfId="0" applyFont="1"/>
    <xf numFmtId="0" fontId="4" fillId="0" borderId="2" xfId="1" applyNumberFormat="1" applyFont="1" applyFill="1" applyBorder="1"/>
    <xf numFmtId="0" fontId="0" fillId="0" borderId="0" xfId="0" applyAlignment="1">
      <alignment horizontal="center" vertical="center"/>
    </xf>
    <xf numFmtId="0" fontId="4" fillId="2" borderId="2" xfId="0" applyFont="1" applyFill="1" applyBorder="1"/>
    <xf numFmtId="0" fontId="4" fillId="0" borderId="2" xfId="0" applyFont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2" fillId="0" borderId="1" xfId="0" applyFont="1" applyBorder="1"/>
    <xf numFmtId="0" fontId="0" fillId="7" borderId="1" xfId="0" applyFill="1" applyBorder="1"/>
    <xf numFmtId="0" fontId="0" fillId="0" borderId="26" xfId="0" applyBorder="1"/>
    <xf numFmtId="0" fontId="0" fillId="7" borderId="26" xfId="0" applyFill="1" applyBorder="1"/>
    <xf numFmtId="0" fontId="0" fillId="7" borderId="28" xfId="0" applyFill="1" applyBorder="1"/>
    <xf numFmtId="0" fontId="0" fillId="0" borderId="29" xfId="0" applyBorder="1"/>
    <xf numFmtId="0" fontId="0" fillId="7" borderId="30" xfId="0" applyFill="1" applyBorder="1"/>
    <xf numFmtId="0" fontId="0" fillId="0" borderId="30" xfId="0" applyBorder="1"/>
    <xf numFmtId="0" fontId="0" fillId="7" borderId="29" xfId="0" applyFill="1" applyBorder="1"/>
    <xf numFmtId="0" fontId="0" fillId="0" borderId="31" xfId="0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7" borderId="37" xfId="0" applyFill="1" applyBorder="1"/>
    <xf numFmtId="0" fontId="0" fillId="7" borderId="35" xfId="0" applyFill="1" applyBorder="1"/>
    <xf numFmtId="0" fontId="0" fillId="7" borderId="27" xfId="0" applyFill="1" applyBorder="1"/>
    <xf numFmtId="0" fontId="0" fillId="0" borderId="36" xfId="0" applyNumberFormat="1" applyBorder="1"/>
    <xf numFmtId="0" fontId="0" fillId="0" borderId="25" xfId="0" applyBorder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0" fillId="0" borderId="30" xfId="0" applyFill="1" applyBorder="1"/>
    <xf numFmtId="0" fontId="0" fillId="0" borderId="37" xfId="0" applyFill="1" applyBorder="1"/>
    <xf numFmtId="0" fontId="0" fillId="7" borderId="36" xfId="0" applyNumberFormat="1" applyFill="1" applyBorder="1"/>
    <xf numFmtId="0" fontId="0" fillId="7" borderId="31" xfId="0" applyFill="1" applyBorder="1"/>
    <xf numFmtId="0" fontId="0" fillId="7" borderId="38" xfId="0" applyFill="1" applyBorder="1"/>
    <xf numFmtId="0" fontId="0" fillId="7" borderId="36" xfId="0" applyFill="1" applyBorder="1"/>
    <xf numFmtId="0" fontId="2" fillId="0" borderId="47" xfId="0" applyFont="1" applyBorder="1" applyAlignment="1">
      <alignment horizontal="center" vertical="center"/>
    </xf>
    <xf numFmtId="0" fontId="0" fillId="0" borderId="50" xfId="0" applyBorder="1"/>
    <xf numFmtId="0" fontId="0" fillId="0" borderId="27" xfId="0" applyNumberFormat="1" applyBorder="1"/>
    <xf numFmtId="0" fontId="0" fillId="0" borderId="28" xfId="0" applyBorder="1"/>
    <xf numFmtId="0" fontId="0" fillId="0" borderId="33" xfId="0" applyBorder="1"/>
    <xf numFmtId="0" fontId="0" fillId="0" borderId="29" xfId="0" applyNumberFormat="1" applyBorder="1"/>
    <xf numFmtId="0" fontId="0" fillId="0" borderId="31" xfId="0" applyNumberFormat="1" applyBorder="1"/>
    <xf numFmtId="0" fontId="0" fillId="7" borderId="52" xfId="0" applyFill="1" applyBorder="1"/>
    <xf numFmtId="0" fontId="0" fillId="0" borderId="27" xfId="0" applyBorder="1"/>
    <xf numFmtId="0" fontId="0" fillId="7" borderId="54" xfId="0" applyFill="1" applyBorder="1"/>
    <xf numFmtId="0" fontId="0" fillId="0" borderId="54" xfId="0" applyBorder="1"/>
    <xf numFmtId="0" fontId="0" fillId="7" borderId="55" xfId="0" applyFill="1" applyBorder="1"/>
    <xf numFmtId="0" fontId="0" fillId="0" borderId="55" xfId="0" applyBorder="1"/>
    <xf numFmtId="0" fontId="0" fillId="0" borderId="53" xfId="0" applyBorder="1"/>
    <xf numFmtId="0" fontId="0" fillId="7" borderId="27" xfId="0" applyNumberFormat="1" applyFill="1" applyBorder="1"/>
    <xf numFmtId="0" fontId="0" fillId="7" borderId="28" xfId="0" applyNumberFormat="1" applyFill="1" applyBorder="1"/>
    <xf numFmtId="0" fontId="0" fillId="0" borderId="29" xfId="0" applyFill="1" applyBorder="1"/>
    <xf numFmtId="0" fontId="0" fillId="0" borderId="31" xfId="0" applyFill="1" applyBorder="1"/>
    <xf numFmtId="0" fontId="0" fillId="0" borderId="33" xfId="0" applyFill="1" applyBorder="1"/>
    <xf numFmtId="0" fontId="0" fillId="7" borderId="56" xfId="0" applyFill="1" applyBorder="1"/>
    <xf numFmtId="0" fontId="0" fillId="0" borderId="57" xfId="0" applyBorder="1"/>
    <xf numFmtId="0" fontId="0" fillId="0" borderId="51" xfId="0" applyBorder="1"/>
    <xf numFmtId="0" fontId="0" fillId="0" borderId="58" xfId="0" applyNumberFormat="1" applyBorder="1"/>
    <xf numFmtId="0" fontId="0" fillId="0" borderId="34" xfId="0" applyNumberFormat="1" applyBorder="1"/>
    <xf numFmtId="0" fontId="0" fillId="0" borderId="35" xfId="0" applyNumberFormat="1" applyBorder="1"/>
    <xf numFmtId="0" fontId="2" fillId="0" borderId="7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0" fillId="0" borderId="9" xfId="0" applyBorder="1"/>
    <xf numFmtId="0" fontId="0" fillId="0" borderId="12" xfId="0" applyBorder="1"/>
    <xf numFmtId="0" fontId="0" fillId="7" borderId="8" xfId="0" applyFill="1" applyBorder="1"/>
    <xf numFmtId="0" fontId="0" fillId="7" borderId="9" xfId="0" applyFill="1" applyBorder="1"/>
    <xf numFmtId="0" fontId="0" fillId="0" borderId="10" xfId="0" applyBorder="1"/>
    <xf numFmtId="1" fontId="2" fillId="0" borderId="4" xfId="0" applyNumberFormat="1" applyFont="1" applyBorder="1"/>
    <xf numFmtId="0" fontId="0" fillId="0" borderId="54" xfId="0" applyFill="1" applyBorder="1"/>
    <xf numFmtId="0" fontId="5" fillId="0" borderId="0" xfId="0" applyFont="1"/>
    <xf numFmtId="0" fontId="0" fillId="0" borderId="0" xfId="0" applyAlignment="1"/>
    <xf numFmtId="0" fontId="0" fillId="0" borderId="47" xfId="0" applyBorder="1"/>
    <xf numFmtId="0" fontId="0" fillId="0" borderId="45" xfId="0" applyBorder="1"/>
    <xf numFmtId="0" fontId="0" fillId="0" borderId="59" xfId="0" applyBorder="1"/>
    <xf numFmtId="0" fontId="2" fillId="0" borderId="60" xfId="0" applyFont="1" applyBorder="1" applyAlignment="1">
      <alignment horizontal="center" vertical="center"/>
    </xf>
    <xf numFmtId="0" fontId="2" fillId="0" borderId="61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0" xfId="0" applyFont="1"/>
    <xf numFmtId="0" fontId="2" fillId="0" borderId="6" xfId="0" applyFont="1" applyBorder="1"/>
    <xf numFmtId="0" fontId="2" fillId="0" borderId="7" xfId="0" applyFont="1" applyBorder="1"/>
    <xf numFmtId="1" fontId="0" fillId="0" borderId="45" xfId="0" applyNumberFormat="1" applyBorder="1"/>
    <xf numFmtId="0" fontId="2" fillId="0" borderId="66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1" fontId="0" fillId="0" borderId="39" xfId="0" applyNumberFormat="1" applyBorder="1"/>
    <xf numFmtId="1" fontId="0" fillId="0" borderId="22" xfId="0" applyNumberFormat="1" applyBorder="1"/>
    <xf numFmtId="1" fontId="0" fillId="0" borderId="23" xfId="0" applyNumberFormat="1" applyBorder="1"/>
    <xf numFmtId="0" fontId="0" fillId="0" borderId="22" xfId="0" applyFill="1" applyBorder="1"/>
    <xf numFmtId="0" fontId="0" fillId="0" borderId="37" xfId="0" applyNumberFormat="1" applyBorder="1"/>
    <xf numFmtId="0" fontId="0" fillId="0" borderId="38" xfId="0" applyNumberFormat="1" applyBorder="1"/>
    <xf numFmtId="0" fontId="0" fillId="10" borderId="30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31" xfId="0" applyFill="1" applyBorder="1"/>
    <xf numFmtId="0" fontId="0" fillId="10" borderId="26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63" xfId="0" applyFont="1" applyBorder="1"/>
    <xf numFmtId="0" fontId="2" fillId="0" borderId="65" xfId="0" applyFont="1" applyBorder="1"/>
    <xf numFmtId="0" fontId="0" fillId="0" borderId="67" xfId="0" applyBorder="1"/>
    <xf numFmtId="0" fontId="0" fillId="7" borderId="67" xfId="0" applyFill="1" applyBorder="1"/>
    <xf numFmtId="0" fontId="0" fillId="0" borderId="67" xfId="0" applyFill="1" applyBorder="1"/>
    <xf numFmtId="0" fontId="2" fillId="0" borderId="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3" fillId="5" borderId="39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2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9" borderId="22" xfId="0" applyFont="1" applyFill="1" applyBorder="1" applyAlignment="1">
      <alignment horizontal="center"/>
    </xf>
    <xf numFmtId="0" fontId="3" fillId="9" borderId="46" xfId="0" applyFont="1" applyFill="1" applyBorder="1" applyAlignment="1">
      <alignment horizontal="center"/>
    </xf>
    <xf numFmtId="0" fontId="3" fillId="9" borderId="20" xfId="0" applyFont="1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5" borderId="4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49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0" borderId="22" xfId="0" applyBorder="1" applyAlignment="1">
      <alignment horizontal="center"/>
    </xf>
    <xf numFmtId="9" fontId="0" fillId="0" borderId="22" xfId="2" applyFont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0" fontId="0" fillId="0" borderId="45" xfId="0" applyFont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D206"/>
  <sheetViews>
    <sheetView tabSelected="1" topLeftCell="A72" zoomScale="57" zoomScaleNormal="57" workbookViewId="0">
      <selection activeCell="Q7" sqref="Q7"/>
    </sheetView>
  </sheetViews>
  <sheetFormatPr baseColWidth="10" defaultColWidth="11.3984375" defaultRowHeight="14.25" x14ac:dyDescent="0.45"/>
  <cols>
    <col min="1" max="1" width="30.1328125" bestFit="1" customWidth="1"/>
    <col min="2" max="2" width="32.265625" bestFit="1" customWidth="1"/>
    <col min="4" max="4" width="11.3984375" customWidth="1"/>
    <col min="6" max="7" width="11.3984375" customWidth="1"/>
    <col min="11" max="11" width="12.1328125" bestFit="1" customWidth="1"/>
    <col min="12" max="12" width="12" bestFit="1" customWidth="1"/>
    <col min="14" max="14" width="12.265625" bestFit="1" customWidth="1"/>
  </cols>
  <sheetData>
    <row r="1" spans="1:36" ht="18.399999999999999" thickBot="1" x14ac:dyDescent="0.6">
      <c r="A1" s="33" t="s">
        <v>0</v>
      </c>
      <c r="B1" s="32">
        <v>230</v>
      </c>
      <c r="C1" s="29"/>
      <c r="D1" s="29"/>
    </row>
    <row r="2" spans="1:36" ht="18.399999999999999" thickBot="1" x14ac:dyDescent="0.6">
      <c r="A2" s="33" t="s">
        <v>1</v>
      </c>
      <c r="B2" s="32">
        <v>2000000</v>
      </c>
      <c r="C2" s="30">
        <f>B2/10000</f>
        <v>200</v>
      </c>
      <c r="D2" s="29" t="s">
        <v>2</v>
      </c>
    </row>
    <row r="4" spans="1:36" ht="14.65" thickBot="1" x14ac:dyDescent="0.5"/>
    <row r="5" spans="1:36" ht="14.65" thickBot="1" x14ac:dyDescent="0.5">
      <c r="A5" s="9" t="s">
        <v>3</v>
      </c>
      <c r="B5" s="10" t="s">
        <v>4</v>
      </c>
      <c r="C5" s="11" t="s">
        <v>5</v>
      </c>
      <c r="D5" s="11" t="s">
        <v>6</v>
      </c>
      <c r="E5" s="11" t="s">
        <v>7</v>
      </c>
      <c r="F5" s="12" t="s">
        <v>8</v>
      </c>
      <c r="H5" s="179" t="s">
        <v>9</v>
      </c>
      <c r="I5" s="180"/>
      <c r="J5" s="181"/>
      <c r="K5" s="106"/>
      <c r="L5" s="106"/>
      <c r="M5" s="106"/>
      <c r="N5" s="106"/>
      <c r="O5" s="106"/>
    </row>
    <row r="6" spans="1:36" ht="14.65" thickBot="1" x14ac:dyDescent="0.5">
      <c r="A6" s="139" t="s">
        <v>10</v>
      </c>
      <c r="B6" s="1" t="s">
        <v>11</v>
      </c>
      <c r="C6" s="4">
        <v>0.01</v>
      </c>
      <c r="D6" s="2">
        <f t="shared" ref="D6:D20" si="0">ROUND((C6*$B$1),0)</f>
        <v>2</v>
      </c>
      <c r="E6" s="4">
        <v>0.02</v>
      </c>
      <c r="F6" s="13">
        <f>ROUND(E6*$C$2,0)</f>
        <v>4</v>
      </c>
      <c r="H6" s="187"/>
      <c r="I6" s="188"/>
      <c r="J6" s="189"/>
      <c r="K6" s="107" t="s">
        <v>12</v>
      </c>
      <c r="L6" s="107" t="s">
        <v>13</v>
      </c>
      <c r="M6" s="107" t="s">
        <v>14</v>
      </c>
      <c r="N6" s="107" t="s">
        <v>15</v>
      </c>
      <c r="O6" s="108" t="s">
        <v>16</v>
      </c>
      <c r="Q6" s="194" t="s">
        <v>17</v>
      </c>
      <c r="R6" s="195"/>
      <c r="S6" s="194" t="s">
        <v>17</v>
      </c>
      <c r="T6" s="195"/>
      <c r="V6" s="198" t="s">
        <v>18</v>
      </c>
      <c r="W6" s="199"/>
      <c r="X6" s="200"/>
      <c r="AA6" s="99"/>
      <c r="AB6" s="198" t="s">
        <v>4</v>
      </c>
      <c r="AC6" s="199"/>
      <c r="AD6" s="199"/>
      <c r="AE6" s="135" t="s">
        <v>19</v>
      </c>
      <c r="AF6" s="110" t="s">
        <v>20</v>
      </c>
      <c r="AG6" s="134" t="s">
        <v>21</v>
      </c>
      <c r="AH6" s="135" t="s">
        <v>20</v>
      </c>
      <c r="AI6" s="111" t="s">
        <v>22</v>
      </c>
      <c r="AJ6" s="112" t="s">
        <v>23</v>
      </c>
    </row>
    <row r="7" spans="1:36" ht="14.65" thickBot="1" x14ac:dyDescent="0.5">
      <c r="A7" s="139"/>
      <c r="B7" s="1" t="s">
        <v>24</v>
      </c>
      <c r="C7" s="4">
        <v>0.01</v>
      </c>
      <c r="D7" s="2">
        <f t="shared" si="0"/>
        <v>2</v>
      </c>
      <c r="E7" s="4">
        <v>0.06</v>
      </c>
      <c r="F7" s="13">
        <f t="shared" ref="F7:F20" si="1">ROUND(E7*$C$2,0)</f>
        <v>12</v>
      </c>
      <c r="H7" s="182" t="s">
        <v>25</v>
      </c>
      <c r="I7" s="149"/>
      <c r="J7" s="7">
        <v>1.1111111111111112</v>
      </c>
      <c r="K7" s="27">
        <f t="shared" ref="K7:K12" si="2">J7*$C$2</f>
        <v>222.22222222222223</v>
      </c>
      <c r="L7" s="21">
        <v>0.12</v>
      </c>
      <c r="M7" s="23">
        <f t="shared" ref="M7:M12" si="3">ROUND(L7*$J$15,0)</f>
        <v>12</v>
      </c>
      <c r="N7" s="21">
        <v>0.18</v>
      </c>
      <c r="O7" s="24">
        <f>ROUND(N7*$J$14,0)</f>
        <v>54</v>
      </c>
      <c r="Q7" s="93"/>
      <c r="R7" s="94"/>
      <c r="S7" s="93"/>
      <c r="T7" s="94"/>
      <c r="V7" s="103" t="s">
        <v>26</v>
      </c>
      <c r="W7" s="104" t="s">
        <v>27</v>
      </c>
      <c r="X7" s="105" t="s">
        <v>28</v>
      </c>
      <c r="AB7" s="205" t="s">
        <v>11</v>
      </c>
      <c r="AC7" s="206"/>
      <c r="AD7" s="206"/>
      <c r="AE7" s="109">
        <f t="shared" ref="AE7:AE21" si="4">D6</f>
        <v>2</v>
      </c>
      <c r="AF7" s="113">
        <f>AE7</f>
        <v>2</v>
      </c>
      <c r="AG7" s="124">
        <f t="shared" ref="AG7:AG21" si="5">H48+L48+P48+T48+X48+AB48</f>
        <v>2</v>
      </c>
      <c r="AH7" s="125">
        <f>AG7</f>
        <v>2</v>
      </c>
      <c r="AI7" s="14">
        <f t="shared" ref="AI7:AI21" si="6">F48+J48+N48+R48+V48+Z48</f>
        <v>2</v>
      </c>
      <c r="AJ7" s="91">
        <f>AI7</f>
        <v>2</v>
      </c>
    </row>
    <row r="8" spans="1:36" x14ac:dyDescent="0.45">
      <c r="A8" s="139"/>
      <c r="B8" s="1" t="s">
        <v>29</v>
      </c>
      <c r="C8" s="4">
        <v>0.03</v>
      </c>
      <c r="D8" s="2">
        <f t="shared" si="0"/>
        <v>7</v>
      </c>
      <c r="E8" s="4">
        <v>0.12</v>
      </c>
      <c r="F8" s="13">
        <f t="shared" si="1"/>
        <v>24</v>
      </c>
      <c r="H8" s="182" t="s">
        <v>30</v>
      </c>
      <c r="I8" s="149"/>
      <c r="J8" s="7">
        <v>0.22222222222222221</v>
      </c>
      <c r="K8" s="27">
        <f t="shared" si="2"/>
        <v>44.444444444444443</v>
      </c>
      <c r="L8" s="21">
        <v>0.2</v>
      </c>
      <c r="M8" s="23">
        <f t="shared" si="3"/>
        <v>20</v>
      </c>
      <c r="N8" s="21">
        <v>0.20499999999999999</v>
      </c>
      <c r="O8" s="24">
        <f t="shared" ref="O8:O12" si="7">ROUND(N8*$J$14,0)</f>
        <v>62</v>
      </c>
      <c r="Q8" s="14">
        <f>L85+U85</f>
        <v>32</v>
      </c>
      <c r="R8" s="91">
        <f>T88+AC88+L85+U85</f>
        <v>84</v>
      </c>
      <c r="S8" s="14">
        <f t="shared" ref="S8:T12" si="8">MROUND(Q8,5)</f>
        <v>30</v>
      </c>
      <c r="T8" s="91">
        <f t="shared" si="8"/>
        <v>85</v>
      </c>
      <c r="V8" s="100">
        <f>S8</f>
        <v>30</v>
      </c>
      <c r="W8" s="101">
        <f>MROUND((V8+X8)/2,5)</f>
        <v>60</v>
      </c>
      <c r="X8" s="102">
        <f>T8</f>
        <v>85</v>
      </c>
      <c r="AB8" s="201" t="s">
        <v>24</v>
      </c>
      <c r="AC8" s="202"/>
      <c r="AD8" s="202"/>
      <c r="AE8" s="23">
        <f t="shared" si="4"/>
        <v>2</v>
      </c>
      <c r="AF8" s="114">
        <f t="shared" ref="AF8:AF21" si="9">AF7+AE8</f>
        <v>4</v>
      </c>
      <c r="AG8" s="14">
        <f t="shared" si="5"/>
        <v>2</v>
      </c>
      <c r="AH8" s="1">
        <f t="shared" ref="AH8:AH21" si="10">AG8+AH7</f>
        <v>4</v>
      </c>
      <c r="AI8" s="14">
        <f t="shared" si="6"/>
        <v>2</v>
      </c>
      <c r="AJ8" s="91">
        <f t="shared" ref="AJ8:AJ21" si="11">AI8+AJ7</f>
        <v>4</v>
      </c>
    </row>
    <row r="9" spans="1:36" x14ac:dyDescent="0.45">
      <c r="A9" s="139"/>
      <c r="B9" s="1" t="s">
        <v>31</v>
      </c>
      <c r="C9" s="4">
        <v>0.03</v>
      </c>
      <c r="D9" s="2">
        <f t="shared" si="0"/>
        <v>7</v>
      </c>
      <c r="E9" s="4">
        <v>0.04</v>
      </c>
      <c r="F9" s="13">
        <f t="shared" si="1"/>
        <v>8</v>
      </c>
      <c r="H9" s="182" t="s">
        <v>32</v>
      </c>
      <c r="I9" s="149"/>
      <c r="J9" s="7">
        <v>0.14814814814814814</v>
      </c>
      <c r="K9" s="27">
        <f t="shared" si="2"/>
        <v>29.629629629629626</v>
      </c>
      <c r="L9" s="21">
        <v>0.1</v>
      </c>
      <c r="M9" s="23">
        <f t="shared" si="3"/>
        <v>10</v>
      </c>
      <c r="N9" s="21">
        <v>7.0000000000000007E-2</v>
      </c>
      <c r="O9" s="24">
        <f t="shared" si="7"/>
        <v>21</v>
      </c>
      <c r="Q9" s="14">
        <f>U85</f>
        <v>12</v>
      </c>
      <c r="R9" s="91">
        <f>AC88+U85</f>
        <v>22</v>
      </c>
      <c r="S9" s="14">
        <f t="shared" si="8"/>
        <v>10</v>
      </c>
      <c r="T9" s="91">
        <f t="shared" si="8"/>
        <v>20</v>
      </c>
      <c r="V9" s="14">
        <f>S9</f>
        <v>10</v>
      </c>
      <c r="W9" s="1">
        <f>MROUND((V9+X9)/2,5)</f>
        <v>15</v>
      </c>
      <c r="X9" s="91">
        <f>T9</f>
        <v>20</v>
      </c>
      <c r="AB9" s="201" t="s">
        <v>29</v>
      </c>
      <c r="AC9" s="202"/>
      <c r="AD9" s="202"/>
      <c r="AE9" s="23">
        <f t="shared" si="4"/>
        <v>7</v>
      </c>
      <c r="AF9" s="114">
        <f t="shared" si="9"/>
        <v>11</v>
      </c>
      <c r="AG9" s="14">
        <f t="shared" si="5"/>
        <v>2</v>
      </c>
      <c r="AH9" s="1">
        <f t="shared" si="10"/>
        <v>6</v>
      </c>
      <c r="AI9" s="14">
        <f t="shared" si="6"/>
        <v>2</v>
      </c>
      <c r="AJ9" s="91">
        <f t="shared" si="11"/>
        <v>6</v>
      </c>
    </row>
    <row r="10" spans="1:36" x14ac:dyDescent="0.45">
      <c r="A10" s="139" t="s">
        <v>33</v>
      </c>
      <c r="B10" s="1" t="s">
        <v>34</v>
      </c>
      <c r="C10" s="4">
        <v>0.03</v>
      </c>
      <c r="D10" s="2">
        <f t="shared" si="0"/>
        <v>7</v>
      </c>
      <c r="E10" s="4">
        <v>0.06</v>
      </c>
      <c r="F10" s="13">
        <f t="shared" si="1"/>
        <v>12</v>
      </c>
      <c r="H10" s="182" t="s">
        <v>35</v>
      </c>
      <c r="I10" s="149"/>
      <c r="J10" s="7">
        <v>0.14814814814814814</v>
      </c>
      <c r="K10" s="27">
        <f t="shared" si="2"/>
        <v>29.629629629629626</v>
      </c>
      <c r="L10" s="21">
        <v>0.12</v>
      </c>
      <c r="M10" s="23">
        <f t="shared" si="3"/>
        <v>12</v>
      </c>
      <c r="N10" s="21">
        <v>0.09</v>
      </c>
      <c r="O10" s="24">
        <f t="shared" si="7"/>
        <v>27</v>
      </c>
      <c r="Q10" s="14">
        <f>AD85</f>
        <v>11</v>
      </c>
      <c r="R10" s="91">
        <f>AL88+AD85</f>
        <v>29</v>
      </c>
      <c r="S10" s="14">
        <f t="shared" si="8"/>
        <v>10</v>
      </c>
      <c r="T10" s="91">
        <f t="shared" si="8"/>
        <v>30</v>
      </c>
      <c r="V10" s="14">
        <f>S10</f>
        <v>10</v>
      </c>
      <c r="W10" s="1">
        <f>MROUND((V10+X10)/2,5)</f>
        <v>20</v>
      </c>
      <c r="X10" s="91">
        <f>T10</f>
        <v>30</v>
      </c>
      <c r="AB10" s="201" t="s">
        <v>31</v>
      </c>
      <c r="AC10" s="202"/>
      <c r="AD10" s="202"/>
      <c r="AE10" s="23">
        <f t="shared" si="4"/>
        <v>7</v>
      </c>
      <c r="AF10" s="114">
        <f t="shared" si="9"/>
        <v>18</v>
      </c>
      <c r="AG10" s="14">
        <f t="shared" si="5"/>
        <v>3</v>
      </c>
      <c r="AH10" s="1">
        <f t="shared" si="10"/>
        <v>9</v>
      </c>
      <c r="AI10" s="14">
        <f t="shared" si="6"/>
        <v>2</v>
      </c>
      <c r="AJ10" s="91">
        <f t="shared" si="11"/>
        <v>8</v>
      </c>
    </row>
    <row r="11" spans="1:36" x14ac:dyDescent="0.45">
      <c r="A11" s="139"/>
      <c r="B11" s="1" t="s">
        <v>36</v>
      </c>
      <c r="C11" s="4">
        <v>0.05</v>
      </c>
      <c r="D11" s="2">
        <f t="shared" si="0"/>
        <v>12</v>
      </c>
      <c r="E11" s="4">
        <v>0.02</v>
      </c>
      <c r="F11" s="13">
        <f t="shared" si="1"/>
        <v>4</v>
      </c>
      <c r="H11" s="182" t="s">
        <v>37</v>
      </c>
      <c r="I11" s="149"/>
      <c r="J11" s="7">
        <v>0.33333333333333331</v>
      </c>
      <c r="K11" s="27">
        <f t="shared" si="2"/>
        <v>66.666666666666657</v>
      </c>
      <c r="L11" s="21">
        <v>0.25</v>
      </c>
      <c r="M11" s="23">
        <f t="shared" si="3"/>
        <v>25</v>
      </c>
      <c r="N11" s="21">
        <v>0.25</v>
      </c>
      <c r="O11" s="24">
        <f t="shared" si="7"/>
        <v>75</v>
      </c>
      <c r="Q11" s="14">
        <f>AM85</f>
        <v>27</v>
      </c>
      <c r="R11" s="91">
        <f>AU88+AM85</f>
        <v>72</v>
      </c>
      <c r="S11" s="14">
        <f t="shared" si="8"/>
        <v>25</v>
      </c>
      <c r="T11" s="91">
        <f t="shared" si="8"/>
        <v>70</v>
      </c>
      <c r="V11" s="14">
        <f>S11</f>
        <v>25</v>
      </c>
      <c r="W11" s="1">
        <f>MROUND((V11+X11)/2,5)</f>
        <v>50</v>
      </c>
      <c r="X11" s="91">
        <f>T11</f>
        <v>70</v>
      </c>
      <c r="AB11" s="201" t="s">
        <v>34</v>
      </c>
      <c r="AC11" s="202"/>
      <c r="AD11" s="202"/>
      <c r="AE11" s="23">
        <f t="shared" si="4"/>
        <v>7</v>
      </c>
      <c r="AF11" s="114">
        <f t="shared" si="9"/>
        <v>25</v>
      </c>
      <c r="AG11" s="14">
        <f t="shared" si="5"/>
        <v>3</v>
      </c>
      <c r="AH11" s="1">
        <f t="shared" si="10"/>
        <v>12</v>
      </c>
      <c r="AI11" s="14">
        <f t="shared" si="6"/>
        <v>2</v>
      </c>
      <c r="AJ11" s="91">
        <f t="shared" si="11"/>
        <v>10</v>
      </c>
    </row>
    <row r="12" spans="1:36" ht="14.65" thickBot="1" x14ac:dyDescent="0.5">
      <c r="A12" s="139"/>
      <c r="B12" s="1" t="s">
        <v>38</v>
      </c>
      <c r="C12" s="4">
        <v>0.02</v>
      </c>
      <c r="D12" s="2">
        <f t="shared" si="0"/>
        <v>5</v>
      </c>
      <c r="E12" s="4">
        <v>0.03</v>
      </c>
      <c r="F12" s="13">
        <f t="shared" si="1"/>
        <v>6</v>
      </c>
      <c r="H12" s="183" t="s">
        <v>39</v>
      </c>
      <c r="I12" s="184"/>
      <c r="J12" s="8">
        <v>0.25925925925925924</v>
      </c>
      <c r="K12" s="28">
        <f t="shared" si="2"/>
        <v>51.851851851851848</v>
      </c>
      <c r="L12" s="22">
        <v>0.21</v>
      </c>
      <c r="M12" s="25">
        <f t="shared" si="3"/>
        <v>21</v>
      </c>
      <c r="N12" s="22">
        <v>0.20499999999999999</v>
      </c>
      <c r="O12" s="26">
        <f t="shared" si="7"/>
        <v>62</v>
      </c>
      <c r="Q12" s="95">
        <f>AV85</f>
        <v>20</v>
      </c>
      <c r="R12" s="92">
        <f>BD88+AV85</f>
        <v>62</v>
      </c>
      <c r="S12" s="95">
        <f t="shared" si="8"/>
        <v>20</v>
      </c>
      <c r="T12" s="92">
        <f t="shared" si="8"/>
        <v>60</v>
      </c>
      <c r="V12" s="95">
        <f>S12</f>
        <v>20</v>
      </c>
      <c r="W12" s="15">
        <f>MROUND((V12+X12)/2,5)</f>
        <v>40</v>
      </c>
      <c r="X12" s="92">
        <f>T12</f>
        <v>60</v>
      </c>
      <c r="AB12" s="201" t="s">
        <v>36</v>
      </c>
      <c r="AC12" s="202"/>
      <c r="AD12" s="202"/>
      <c r="AE12" s="23">
        <f t="shared" si="4"/>
        <v>12</v>
      </c>
      <c r="AF12" s="114">
        <f t="shared" si="9"/>
        <v>37</v>
      </c>
      <c r="AG12" s="14">
        <f t="shared" si="5"/>
        <v>3</v>
      </c>
      <c r="AH12" s="1">
        <f t="shared" si="10"/>
        <v>15</v>
      </c>
      <c r="AI12" s="14">
        <f t="shared" si="6"/>
        <v>3</v>
      </c>
      <c r="AJ12" s="91">
        <f t="shared" si="11"/>
        <v>13</v>
      </c>
    </row>
    <row r="13" spans="1:36" ht="14.65" thickBot="1" x14ac:dyDescent="0.5">
      <c r="A13" s="139"/>
      <c r="B13" s="1" t="s">
        <v>40</v>
      </c>
      <c r="C13" s="4">
        <v>7.0000000000000007E-2</v>
      </c>
      <c r="D13" s="2">
        <f t="shared" si="0"/>
        <v>16</v>
      </c>
      <c r="E13" s="4">
        <v>0.03</v>
      </c>
      <c r="F13" s="13">
        <f t="shared" si="1"/>
        <v>6</v>
      </c>
      <c r="L13" s="20"/>
      <c r="N13" s="20"/>
      <c r="AB13" s="201" t="s">
        <v>38</v>
      </c>
      <c r="AC13" s="202"/>
      <c r="AD13" s="202"/>
      <c r="AE13" s="23">
        <f t="shared" si="4"/>
        <v>5</v>
      </c>
      <c r="AF13" s="114">
        <f t="shared" si="9"/>
        <v>42</v>
      </c>
      <c r="AG13" s="14">
        <f t="shared" si="5"/>
        <v>3</v>
      </c>
      <c r="AH13" s="1">
        <f t="shared" si="10"/>
        <v>18</v>
      </c>
      <c r="AI13" s="14">
        <f t="shared" si="6"/>
        <v>3</v>
      </c>
      <c r="AJ13" s="91">
        <f t="shared" si="11"/>
        <v>16</v>
      </c>
    </row>
    <row r="14" spans="1:36" ht="14.65" thickBot="1" x14ac:dyDescent="0.5">
      <c r="A14" s="14" t="s">
        <v>41</v>
      </c>
      <c r="B14" s="1" t="s">
        <v>42</v>
      </c>
      <c r="C14" s="4">
        <v>0.03</v>
      </c>
      <c r="D14" s="2">
        <f t="shared" si="0"/>
        <v>7</v>
      </c>
      <c r="E14" s="4">
        <v>7.0000000000000007E-2</v>
      </c>
      <c r="F14" s="13">
        <f t="shared" si="1"/>
        <v>14</v>
      </c>
      <c r="H14" s="185" t="s">
        <v>43</v>
      </c>
      <c r="I14" s="186"/>
      <c r="J14" s="96">
        <f>1.5*C2</f>
        <v>300</v>
      </c>
      <c r="L14" s="196" t="s">
        <v>44</v>
      </c>
      <c r="M14" s="197"/>
      <c r="O14" s="19"/>
      <c r="P14" s="127" t="s">
        <v>14</v>
      </c>
      <c r="Q14" s="128" t="s">
        <v>16</v>
      </c>
      <c r="AB14" s="201" t="s">
        <v>40</v>
      </c>
      <c r="AC14" s="202"/>
      <c r="AD14" s="202"/>
      <c r="AE14" s="23">
        <f t="shared" si="4"/>
        <v>16</v>
      </c>
      <c r="AF14" s="114">
        <f t="shared" si="9"/>
        <v>58</v>
      </c>
      <c r="AG14" s="14">
        <f t="shared" si="5"/>
        <v>4</v>
      </c>
      <c r="AH14" s="1">
        <f t="shared" si="10"/>
        <v>22</v>
      </c>
      <c r="AI14" s="14">
        <f t="shared" si="6"/>
        <v>4</v>
      </c>
      <c r="AJ14" s="91">
        <f t="shared" si="11"/>
        <v>20</v>
      </c>
    </row>
    <row r="15" spans="1:36" ht="14.65" thickBot="1" x14ac:dyDescent="0.5">
      <c r="A15" s="139" t="s">
        <v>45</v>
      </c>
      <c r="B15" s="1" t="s">
        <v>46</v>
      </c>
      <c r="C15" s="4">
        <v>0.05</v>
      </c>
      <c r="D15" s="2">
        <f t="shared" si="0"/>
        <v>12</v>
      </c>
      <c r="E15" s="4">
        <v>0.06</v>
      </c>
      <c r="F15" s="13">
        <f t="shared" si="1"/>
        <v>12</v>
      </c>
      <c r="H15" s="185" t="s">
        <v>47</v>
      </c>
      <c r="I15" s="186"/>
      <c r="J15" s="96">
        <f>C2*0.5</f>
        <v>100</v>
      </c>
      <c r="L15" s="100">
        <f>C2*1.2</f>
        <v>240</v>
      </c>
      <c r="M15" s="102">
        <f t="shared" ref="M15:M20" si="12">MROUND(L15,5)</f>
        <v>240</v>
      </c>
      <c r="P15" s="124">
        <f>C85</f>
        <v>11</v>
      </c>
      <c r="Q15" s="126">
        <f>C85+K88</f>
        <v>56</v>
      </c>
      <c r="AB15" s="201" t="s">
        <v>42</v>
      </c>
      <c r="AC15" s="202"/>
      <c r="AD15" s="202"/>
      <c r="AE15" s="23">
        <f t="shared" si="4"/>
        <v>7</v>
      </c>
      <c r="AF15" s="114">
        <f t="shared" si="9"/>
        <v>65</v>
      </c>
      <c r="AG15" s="14">
        <f t="shared" si="5"/>
        <v>3</v>
      </c>
      <c r="AH15" s="1">
        <f t="shared" si="10"/>
        <v>25</v>
      </c>
      <c r="AI15" s="14">
        <f t="shared" si="6"/>
        <v>3</v>
      </c>
      <c r="AJ15" s="91">
        <f t="shared" si="11"/>
        <v>23</v>
      </c>
    </row>
    <row r="16" spans="1:36" x14ac:dyDescent="0.45">
      <c r="A16" s="139"/>
      <c r="B16" s="1" t="s">
        <v>48</v>
      </c>
      <c r="C16" s="4">
        <v>0.12</v>
      </c>
      <c r="D16" s="2">
        <f t="shared" si="0"/>
        <v>28</v>
      </c>
      <c r="E16" s="4">
        <v>0.09</v>
      </c>
      <c r="F16" s="13">
        <f t="shared" si="1"/>
        <v>18</v>
      </c>
      <c r="L16" s="14">
        <f>0.75*T8</f>
        <v>63.75</v>
      </c>
      <c r="M16" s="91">
        <f t="shared" si="12"/>
        <v>65</v>
      </c>
      <c r="P16" s="14">
        <f>L85</f>
        <v>20</v>
      </c>
      <c r="Q16" s="91">
        <f>L85+T88</f>
        <v>62</v>
      </c>
      <c r="AB16" s="201" t="s">
        <v>46</v>
      </c>
      <c r="AC16" s="202"/>
      <c r="AD16" s="202"/>
      <c r="AE16" s="23">
        <f t="shared" si="4"/>
        <v>12</v>
      </c>
      <c r="AF16" s="114">
        <f t="shared" si="9"/>
        <v>77</v>
      </c>
      <c r="AG16" s="14">
        <f t="shared" si="5"/>
        <v>5</v>
      </c>
      <c r="AH16" s="1">
        <f t="shared" si="10"/>
        <v>30</v>
      </c>
      <c r="AI16" s="14">
        <f t="shared" si="6"/>
        <v>5</v>
      </c>
      <c r="AJ16" s="91">
        <f t="shared" si="11"/>
        <v>28</v>
      </c>
    </row>
    <row r="17" spans="1:36" x14ac:dyDescent="0.45">
      <c r="A17" s="139"/>
      <c r="B17" s="1" t="s">
        <v>49</v>
      </c>
      <c r="C17" s="4">
        <v>0.2</v>
      </c>
      <c r="D17" s="2">
        <f t="shared" si="0"/>
        <v>46</v>
      </c>
      <c r="E17" s="4">
        <v>0.18</v>
      </c>
      <c r="F17" s="13">
        <f t="shared" si="1"/>
        <v>36</v>
      </c>
      <c r="L17" s="14">
        <f>0.9*T9</f>
        <v>18</v>
      </c>
      <c r="M17" s="91">
        <f t="shared" si="12"/>
        <v>20</v>
      </c>
      <c r="P17" s="14">
        <f>U85</f>
        <v>12</v>
      </c>
      <c r="Q17" s="91">
        <f>U85+AC88</f>
        <v>22</v>
      </c>
      <c r="AB17" s="201" t="s">
        <v>48</v>
      </c>
      <c r="AC17" s="202"/>
      <c r="AD17" s="202"/>
      <c r="AE17" s="23">
        <f t="shared" si="4"/>
        <v>28</v>
      </c>
      <c r="AF17" s="114">
        <f t="shared" si="9"/>
        <v>105</v>
      </c>
      <c r="AG17" s="14">
        <f t="shared" si="5"/>
        <v>4</v>
      </c>
      <c r="AH17" s="1">
        <f t="shared" si="10"/>
        <v>34</v>
      </c>
      <c r="AI17" s="14">
        <f t="shared" si="6"/>
        <v>4</v>
      </c>
      <c r="AJ17" s="91">
        <f t="shared" si="11"/>
        <v>32</v>
      </c>
    </row>
    <row r="18" spans="1:36" x14ac:dyDescent="0.45">
      <c r="A18" s="139"/>
      <c r="B18" s="1" t="s">
        <v>50</v>
      </c>
      <c r="C18" s="4">
        <v>0.24</v>
      </c>
      <c r="D18" s="2">
        <f t="shared" si="0"/>
        <v>55</v>
      </c>
      <c r="E18" s="4">
        <v>0.12</v>
      </c>
      <c r="F18" s="13">
        <f t="shared" si="1"/>
        <v>24</v>
      </c>
      <c r="L18" s="14">
        <f>1*T10</f>
        <v>30</v>
      </c>
      <c r="M18" s="91">
        <f t="shared" si="12"/>
        <v>30</v>
      </c>
      <c r="P18" s="14">
        <f>AD85</f>
        <v>11</v>
      </c>
      <c r="Q18" s="91">
        <f>AD85+AL88</f>
        <v>29</v>
      </c>
      <c r="AB18" s="201" t="s">
        <v>49</v>
      </c>
      <c r="AC18" s="202"/>
      <c r="AD18" s="202"/>
      <c r="AE18" s="23">
        <f t="shared" si="4"/>
        <v>46</v>
      </c>
      <c r="AF18" s="114">
        <f t="shared" si="9"/>
        <v>151</v>
      </c>
      <c r="AG18" s="14">
        <f t="shared" si="5"/>
        <v>4</v>
      </c>
      <c r="AH18" s="1">
        <f t="shared" si="10"/>
        <v>38</v>
      </c>
      <c r="AI18" s="14">
        <f t="shared" si="6"/>
        <v>4</v>
      </c>
      <c r="AJ18" s="91">
        <f t="shared" si="11"/>
        <v>36</v>
      </c>
    </row>
    <row r="19" spans="1:36" x14ac:dyDescent="0.45">
      <c r="A19" s="139" t="s">
        <v>51</v>
      </c>
      <c r="B19" s="1" t="s">
        <v>52</v>
      </c>
      <c r="C19" s="4">
        <v>0.08</v>
      </c>
      <c r="D19" s="2">
        <f t="shared" si="0"/>
        <v>18</v>
      </c>
      <c r="E19" s="4">
        <v>0.08</v>
      </c>
      <c r="F19" s="13">
        <f t="shared" si="1"/>
        <v>16</v>
      </c>
      <c r="L19" s="14">
        <f>0.9*T11</f>
        <v>63</v>
      </c>
      <c r="M19" s="91">
        <f t="shared" si="12"/>
        <v>65</v>
      </c>
      <c r="P19" s="14">
        <f>AM85</f>
        <v>27</v>
      </c>
      <c r="Q19" s="91">
        <f>AM85+AU88</f>
        <v>72</v>
      </c>
      <c r="AB19" s="201" t="s">
        <v>50</v>
      </c>
      <c r="AC19" s="202"/>
      <c r="AD19" s="202"/>
      <c r="AE19" s="23">
        <f t="shared" si="4"/>
        <v>55</v>
      </c>
      <c r="AF19" s="114">
        <f t="shared" si="9"/>
        <v>206</v>
      </c>
      <c r="AG19" s="14">
        <f t="shared" si="5"/>
        <v>4</v>
      </c>
      <c r="AH19" s="1">
        <f t="shared" si="10"/>
        <v>42</v>
      </c>
      <c r="AI19" s="14">
        <f t="shared" si="6"/>
        <v>4</v>
      </c>
      <c r="AJ19" s="91">
        <f t="shared" si="11"/>
        <v>40</v>
      </c>
    </row>
    <row r="20" spans="1:36" ht="14.65" thickBot="1" x14ac:dyDescent="0.5">
      <c r="A20" s="140"/>
      <c r="B20" s="15" t="s">
        <v>53</v>
      </c>
      <c r="C20" s="16">
        <v>0.03</v>
      </c>
      <c r="D20" s="17">
        <f t="shared" si="0"/>
        <v>7</v>
      </c>
      <c r="E20" s="16">
        <v>0.02</v>
      </c>
      <c r="F20" s="18">
        <f t="shared" si="1"/>
        <v>4</v>
      </c>
      <c r="L20" s="95">
        <f>0.9*T12</f>
        <v>54</v>
      </c>
      <c r="M20" s="92">
        <f t="shared" si="12"/>
        <v>55</v>
      </c>
      <c r="P20" s="95">
        <f>AV85</f>
        <v>20</v>
      </c>
      <c r="Q20" s="92">
        <f>AV85+BD88</f>
        <v>62</v>
      </c>
      <c r="AB20" s="201" t="s">
        <v>52</v>
      </c>
      <c r="AC20" s="202"/>
      <c r="AD20" s="202"/>
      <c r="AE20" s="23">
        <f t="shared" si="4"/>
        <v>18</v>
      </c>
      <c r="AF20" s="114">
        <f t="shared" si="9"/>
        <v>224</v>
      </c>
      <c r="AG20" s="14">
        <f t="shared" si="5"/>
        <v>6</v>
      </c>
      <c r="AH20" s="1">
        <f t="shared" si="10"/>
        <v>48</v>
      </c>
      <c r="AI20" s="14">
        <f t="shared" si="6"/>
        <v>6</v>
      </c>
      <c r="AJ20" s="91">
        <f t="shared" si="11"/>
        <v>46</v>
      </c>
    </row>
    <row r="21" spans="1:36" ht="14.65" thickBot="1" x14ac:dyDescent="0.5">
      <c r="AB21" s="203" t="s">
        <v>53</v>
      </c>
      <c r="AC21" s="204"/>
      <c r="AD21" s="204"/>
      <c r="AE21" s="25">
        <f t="shared" si="4"/>
        <v>7</v>
      </c>
      <c r="AF21" s="115">
        <f t="shared" si="9"/>
        <v>231</v>
      </c>
      <c r="AG21" s="95">
        <f t="shared" si="5"/>
        <v>0</v>
      </c>
      <c r="AH21" s="15">
        <f t="shared" si="10"/>
        <v>48</v>
      </c>
      <c r="AI21" s="95">
        <f t="shared" si="6"/>
        <v>2</v>
      </c>
      <c r="AJ21" s="92">
        <f t="shared" si="11"/>
        <v>48</v>
      </c>
    </row>
    <row r="22" spans="1:36" ht="14.65" thickBot="1" x14ac:dyDescent="0.5">
      <c r="C22" s="5">
        <f>SUM(C6:C20)</f>
        <v>1</v>
      </c>
      <c r="D22" s="3">
        <f>SUM(D6:D20)</f>
        <v>231</v>
      </c>
      <c r="E22" s="6">
        <f>SUM(E6:E20)</f>
        <v>1</v>
      </c>
      <c r="F22" s="6">
        <f>SUM(F6:F20)</f>
        <v>200</v>
      </c>
    </row>
    <row r="24" spans="1:36" hidden="1" x14ac:dyDescent="0.45"/>
    <row r="25" spans="1:36" hidden="1" x14ac:dyDescent="0.45">
      <c r="A25" t="s">
        <v>54</v>
      </c>
    </row>
    <row r="26" spans="1:36" hidden="1" x14ac:dyDescent="0.45">
      <c r="C26" s="149" t="s">
        <v>55</v>
      </c>
      <c r="D26" s="149"/>
      <c r="E26" s="175" t="s">
        <v>25</v>
      </c>
      <c r="F26" s="175"/>
      <c r="G26" s="175"/>
      <c r="H26" s="175"/>
      <c r="I26" s="176" t="s">
        <v>56</v>
      </c>
      <c r="J26" s="176"/>
      <c r="K26" s="176"/>
      <c r="L26" s="176"/>
      <c r="M26" s="177" t="s">
        <v>57</v>
      </c>
      <c r="N26" s="177"/>
      <c r="O26" s="177"/>
      <c r="P26" s="177"/>
      <c r="Q26" s="178" t="s">
        <v>58</v>
      </c>
      <c r="R26" s="178"/>
      <c r="S26" s="178"/>
      <c r="T26" s="178"/>
      <c r="U26" s="148" t="s">
        <v>59</v>
      </c>
      <c r="V26" s="148"/>
      <c r="W26" s="148"/>
      <c r="X26" s="148"/>
      <c r="Y26" s="147" t="s">
        <v>39</v>
      </c>
      <c r="Z26" s="147"/>
      <c r="AA26" s="147"/>
      <c r="AB26" s="147"/>
    </row>
    <row r="27" spans="1:36" hidden="1" x14ac:dyDescent="0.45">
      <c r="A27" s="9" t="s">
        <v>3</v>
      </c>
      <c r="B27" s="34" t="s">
        <v>4</v>
      </c>
      <c r="C27" s="37" t="s">
        <v>60</v>
      </c>
      <c r="D27" s="37" t="s">
        <v>61</v>
      </c>
      <c r="E27" s="1" t="s">
        <v>62</v>
      </c>
      <c r="F27" s="1" t="s">
        <v>63</v>
      </c>
      <c r="G27" s="1" t="s">
        <v>64</v>
      </c>
      <c r="H27" s="1" t="s">
        <v>65</v>
      </c>
      <c r="I27" s="1" t="s">
        <v>62</v>
      </c>
      <c r="J27" s="1" t="s">
        <v>63</v>
      </c>
      <c r="K27" s="1" t="s">
        <v>64</v>
      </c>
      <c r="L27" s="1" t="s">
        <v>65</v>
      </c>
      <c r="M27" s="1" t="s">
        <v>62</v>
      </c>
      <c r="N27" s="1" t="s">
        <v>63</v>
      </c>
      <c r="O27" s="1" t="s">
        <v>64</v>
      </c>
      <c r="P27" s="1" t="s">
        <v>65</v>
      </c>
      <c r="Q27" s="1" t="s">
        <v>62</v>
      </c>
      <c r="R27" s="1" t="s">
        <v>63</v>
      </c>
      <c r="S27" s="1" t="s">
        <v>64</v>
      </c>
      <c r="T27" s="1" t="s">
        <v>65</v>
      </c>
      <c r="U27" s="1" t="s">
        <v>62</v>
      </c>
      <c r="V27" s="1" t="s">
        <v>63</v>
      </c>
      <c r="W27" s="1" t="s">
        <v>64</v>
      </c>
      <c r="X27" s="1" t="s">
        <v>65</v>
      </c>
      <c r="Y27" s="1" t="s">
        <v>62</v>
      </c>
      <c r="Z27" s="1" t="s">
        <v>63</v>
      </c>
      <c r="AA27" s="1" t="s">
        <v>64</v>
      </c>
      <c r="AB27" s="1" t="s">
        <v>65</v>
      </c>
    </row>
    <row r="28" spans="1:36" hidden="1" x14ac:dyDescent="0.45">
      <c r="A28" s="139" t="s">
        <v>10</v>
      </c>
      <c r="B28" s="35" t="s">
        <v>11</v>
      </c>
      <c r="C28" s="1">
        <f>COUNTA(E28:AB28)/2</f>
        <v>2</v>
      </c>
      <c r="D28" s="1">
        <v>2</v>
      </c>
      <c r="E28" s="31" t="s">
        <v>66</v>
      </c>
      <c r="F28" s="31" t="s">
        <v>66</v>
      </c>
      <c r="G28" s="31" t="s">
        <v>66</v>
      </c>
      <c r="H28" s="31" t="s">
        <v>66</v>
      </c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</row>
    <row r="29" spans="1:36" hidden="1" x14ac:dyDescent="0.45">
      <c r="A29" s="139"/>
      <c r="B29" s="35" t="s">
        <v>24</v>
      </c>
      <c r="C29" s="1">
        <f>COUNTA(E29:AB29)/2</f>
        <v>2</v>
      </c>
      <c r="D29" s="1">
        <v>2</v>
      </c>
      <c r="E29" s="31" t="s">
        <v>66</v>
      </c>
      <c r="F29" s="31" t="s">
        <v>66</v>
      </c>
      <c r="G29" s="31" t="s">
        <v>66</v>
      </c>
      <c r="H29" s="31" t="s">
        <v>66</v>
      </c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</row>
    <row r="30" spans="1:36" hidden="1" x14ac:dyDescent="0.45">
      <c r="A30" s="139"/>
      <c r="B30" s="35" t="s">
        <v>29</v>
      </c>
      <c r="C30" s="1">
        <f>COUNTA(E30:AB30)/2</f>
        <v>2</v>
      </c>
      <c r="D30" s="1">
        <v>2</v>
      </c>
      <c r="E30" s="31" t="s">
        <v>66</v>
      </c>
      <c r="F30" s="31" t="s">
        <v>66</v>
      </c>
      <c r="G30" s="31" t="s">
        <v>66</v>
      </c>
      <c r="H30" s="31" t="s">
        <v>66</v>
      </c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</row>
    <row r="31" spans="1:36" hidden="1" x14ac:dyDescent="0.45">
      <c r="A31" s="139"/>
      <c r="B31" s="35" t="s">
        <v>31</v>
      </c>
      <c r="C31" s="1">
        <v>2</v>
      </c>
      <c r="D31" s="1">
        <v>3</v>
      </c>
      <c r="E31" s="31" t="s">
        <v>66</v>
      </c>
      <c r="F31" s="31" t="s">
        <v>66</v>
      </c>
      <c r="G31" s="31" t="s">
        <v>66</v>
      </c>
      <c r="H31" s="31" t="s">
        <v>66</v>
      </c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</row>
    <row r="32" spans="1:36" hidden="1" x14ac:dyDescent="0.45">
      <c r="A32" s="139" t="s">
        <v>33</v>
      </c>
      <c r="B32" s="35" t="s">
        <v>34</v>
      </c>
      <c r="C32" s="1">
        <v>2</v>
      </c>
      <c r="D32" s="1">
        <v>3</v>
      </c>
      <c r="E32" s="31" t="s">
        <v>66</v>
      </c>
      <c r="F32" s="31" t="s">
        <v>66</v>
      </c>
      <c r="G32" s="31" t="s">
        <v>66</v>
      </c>
      <c r="H32" s="31" t="s">
        <v>66</v>
      </c>
      <c r="I32" s="31" t="s">
        <v>66</v>
      </c>
      <c r="J32" s="31" t="s">
        <v>66</v>
      </c>
      <c r="K32" s="31" t="s">
        <v>66</v>
      </c>
      <c r="L32" s="31" t="s">
        <v>66</v>
      </c>
      <c r="M32" s="31" t="s">
        <v>66</v>
      </c>
      <c r="N32" s="31" t="s">
        <v>66</v>
      </c>
      <c r="O32" s="31" t="s">
        <v>66</v>
      </c>
      <c r="P32" s="31" t="s">
        <v>66</v>
      </c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</row>
    <row r="33" spans="1:28" hidden="1" x14ac:dyDescent="0.45">
      <c r="A33" s="139"/>
      <c r="B33" s="35" t="s">
        <v>36</v>
      </c>
      <c r="C33" s="1">
        <v>3</v>
      </c>
      <c r="D33" s="1">
        <v>3</v>
      </c>
      <c r="E33" s="31" t="s">
        <v>66</v>
      </c>
      <c r="F33" s="31" t="s">
        <v>66</v>
      </c>
      <c r="G33" s="31" t="s">
        <v>66</v>
      </c>
      <c r="H33" s="31" t="s">
        <v>66</v>
      </c>
      <c r="I33" s="31" t="s">
        <v>66</v>
      </c>
      <c r="J33" s="31" t="s">
        <v>66</v>
      </c>
      <c r="K33" s="31" t="s">
        <v>66</v>
      </c>
      <c r="L33" s="31" t="s">
        <v>66</v>
      </c>
      <c r="M33" s="31" t="s">
        <v>66</v>
      </c>
      <c r="N33" s="31" t="s">
        <v>66</v>
      </c>
      <c r="O33" s="31" t="s">
        <v>66</v>
      </c>
      <c r="P33" s="31" t="s">
        <v>66</v>
      </c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</row>
    <row r="34" spans="1:28" hidden="1" x14ac:dyDescent="0.45">
      <c r="A34" s="139"/>
      <c r="B34" s="35" t="s">
        <v>38</v>
      </c>
      <c r="C34" s="1">
        <v>3</v>
      </c>
      <c r="D34" s="1">
        <v>3</v>
      </c>
      <c r="E34" s="31" t="s">
        <v>66</v>
      </c>
      <c r="F34" s="31" t="s">
        <v>66</v>
      </c>
      <c r="G34" s="31" t="s">
        <v>66</v>
      </c>
      <c r="H34" s="31" t="s">
        <v>66</v>
      </c>
      <c r="I34" s="31" t="s">
        <v>66</v>
      </c>
      <c r="J34" s="31" t="s">
        <v>66</v>
      </c>
      <c r="K34" s="31" t="s">
        <v>66</v>
      </c>
      <c r="L34" s="31" t="s">
        <v>66</v>
      </c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</row>
    <row r="35" spans="1:28" hidden="1" x14ac:dyDescent="0.45">
      <c r="A35" s="139"/>
      <c r="B35" s="35" t="s">
        <v>40</v>
      </c>
      <c r="C35" s="1">
        <v>4</v>
      </c>
      <c r="D35" s="1">
        <v>4</v>
      </c>
      <c r="E35" s="31" t="s">
        <v>66</v>
      </c>
      <c r="F35" s="31" t="s">
        <v>66</v>
      </c>
      <c r="G35" s="31" t="s">
        <v>66</v>
      </c>
      <c r="H35" s="31" t="s">
        <v>66</v>
      </c>
      <c r="I35" s="31" t="s">
        <v>66</v>
      </c>
      <c r="J35" s="31" t="s">
        <v>66</v>
      </c>
      <c r="K35" s="31" t="s">
        <v>66</v>
      </c>
      <c r="L35" s="31" t="s">
        <v>66</v>
      </c>
      <c r="M35" s="31" t="s">
        <v>66</v>
      </c>
      <c r="N35" s="31" t="s">
        <v>66</v>
      </c>
      <c r="O35" s="31" t="s">
        <v>66</v>
      </c>
      <c r="P35" s="31" t="s">
        <v>66</v>
      </c>
      <c r="Q35" s="31" t="s">
        <v>66</v>
      </c>
      <c r="R35" s="31" t="s">
        <v>66</v>
      </c>
      <c r="S35" s="31" t="s">
        <v>66</v>
      </c>
      <c r="T35" s="31" t="s">
        <v>66</v>
      </c>
      <c r="U35" s="31"/>
      <c r="V35" s="31"/>
      <c r="W35" s="31"/>
      <c r="X35" s="31"/>
      <c r="Y35" s="31"/>
      <c r="Z35" s="31"/>
      <c r="AA35" s="31"/>
      <c r="AB35" s="31"/>
    </row>
    <row r="36" spans="1:28" hidden="1" x14ac:dyDescent="0.45">
      <c r="A36" s="14" t="s">
        <v>41</v>
      </c>
      <c r="B36" s="35" t="s">
        <v>42</v>
      </c>
      <c r="C36" s="1">
        <v>3</v>
      </c>
      <c r="D36" s="1">
        <v>3</v>
      </c>
      <c r="E36" s="31" t="s">
        <v>66</v>
      </c>
      <c r="F36" s="31" t="s">
        <v>66</v>
      </c>
      <c r="G36" s="31" t="s">
        <v>66</v>
      </c>
      <c r="H36" s="31" t="s">
        <v>66</v>
      </c>
      <c r="I36" s="31" t="s">
        <v>66</v>
      </c>
      <c r="J36" s="31" t="s">
        <v>66</v>
      </c>
      <c r="K36" s="31" t="s">
        <v>66</v>
      </c>
      <c r="L36" s="31" t="s">
        <v>66</v>
      </c>
      <c r="M36" s="31"/>
      <c r="N36" s="31"/>
      <c r="O36" s="31"/>
      <c r="P36" s="31"/>
      <c r="Q36" s="31"/>
      <c r="R36" s="31"/>
      <c r="S36" s="31"/>
      <c r="T36" s="31"/>
      <c r="U36" s="31" t="s">
        <v>66</v>
      </c>
      <c r="V36" s="31" t="s">
        <v>66</v>
      </c>
      <c r="W36" s="31" t="s">
        <v>66</v>
      </c>
      <c r="X36" s="31" t="s">
        <v>66</v>
      </c>
      <c r="Y36" s="31" t="s">
        <v>66</v>
      </c>
      <c r="Z36" s="31" t="s">
        <v>66</v>
      </c>
      <c r="AA36" s="31" t="s">
        <v>66</v>
      </c>
      <c r="AB36" s="31" t="s">
        <v>66</v>
      </c>
    </row>
    <row r="37" spans="1:28" hidden="1" x14ac:dyDescent="0.45">
      <c r="A37" s="139" t="s">
        <v>45</v>
      </c>
      <c r="B37" s="35" t="s">
        <v>46</v>
      </c>
      <c r="C37" s="1">
        <v>5</v>
      </c>
      <c r="D37" s="1">
        <v>5</v>
      </c>
      <c r="E37" s="31"/>
      <c r="F37" s="31"/>
      <c r="G37" s="31"/>
      <c r="H37" s="31"/>
      <c r="I37" s="31" t="s">
        <v>66</v>
      </c>
      <c r="J37" s="31" t="s">
        <v>66</v>
      </c>
      <c r="K37" s="31" t="s">
        <v>66</v>
      </c>
      <c r="L37" s="31" t="s">
        <v>66</v>
      </c>
      <c r="M37" s="31"/>
      <c r="N37" s="31"/>
      <c r="O37" s="31"/>
      <c r="P37" s="31"/>
      <c r="Q37" s="31" t="s">
        <v>66</v>
      </c>
      <c r="R37" s="31" t="s">
        <v>66</v>
      </c>
      <c r="S37" s="31" t="s">
        <v>66</v>
      </c>
      <c r="T37" s="31" t="s">
        <v>66</v>
      </c>
      <c r="U37" s="31" t="s">
        <v>66</v>
      </c>
      <c r="V37" s="31" t="s">
        <v>66</v>
      </c>
      <c r="W37" s="31" t="s">
        <v>66</v>
      </c>
      <c r="X37" s="31" t="s">
        <v>66</v>
      </c>
      <c r="Y37" s="31" t="s">
        <v>66</v>
      </c>
      <c r="Z37" s="31" t="s">
        <v>66</v>
      </c>
      <c r="AA37" s="31" t="s">
        <v>66</v>
      </c>
      <c r="AB37" s="31" t="s">
        <v>66</v>
      </c>
    </row>
    <row r="38" spans="1:28" hidden="1" x14ac:dyDescent="0.45">
      <c r="A38" s="139"/>
      <c r="B38" s="35" t="s">
        <v>48</v>
      </c>
      <c r="C38" s="1">
        <v>4</v>
      </c>
      <c r="D38" s="1">
        <v>4</v>
      </c>
      <c r="E38" s="31"/>
      <c r="F38" s="31"/>
      <c r="G38" s="31"/>
      <c r="H38" s="31"/>
      <c r="I38" s="31" t="s">
        <v>66</v>
      </c>
      <c r="J38" s="31" t="s">
        <v>66</v>
      </c>
      <c r="K38" s="31" t="s">
        <v>66</v>
      </c>
      <c r="L38" s="31" t="s">
        <v>66</v>
      </c>
      <c r="M38" s="31"/>
      <c r="N38" s="31"/>
      <c r="O38" s="31"/>
      <c r="P38" s="31"/>
      <c r="Q38" s="31" t="s">
        <v>66</v>
      </c>
      <c r="R38" s="31" t="s">
        <v>66</v>
      </c>
      <c r="S38" s="31" t="s">
        <v>66</v>
      </c>
      <c r="T38" s="31" t="s">
        <v>66</v>
      </c>
      <c r="U38" s="31" t="s">
        <v>66</v>
      </c>
      <c r="V38" s="31" t="s">
        <v>66</v>
      </c>
      <c r="W38" s="31" t="s">
        <v>66</v>
      </c>
      <c r="X38" s="31" t="s">
        <v>66</v>
      </c>
      <c r="Y38" s="31" t="s">
        <v>66</v>
      </c>
      <c r="Z38" s="31" t="s">
        <v>66</v>
      </c>
      <c r="AA38" s="31" t="s">
        <v>66</v>
      </c>
      <c r="AB38" s="31" t="s">
        <v>66</v>
      </c>
    </row>
    <row r="39" spans="1:28" hidden="1" x14ac:dyDescent="0.45">
      <c r="A39" s="139"/>
      <c r="B39" s="35" t="s">
        <v>49</v>
      </c>
      <c r="C39" s="1">
        <v>4</v>
      </c>
      <c r="D39" s="1">
        <v>4</v>
      </c>
      <c r="E39" s="31"/>
      <c r="F39" s="31"/>
      <c r="G39" s="31"/>
      <c r="H39" s="31"/>
      <c r="I39" s="31" t="s">
        <v>66</v>
      </c>
      <c r="J39" s="31" t="s">
        <v>66</v>
      </c>
      <c r="K39" s="31" t="s">
        <v>66</v>
      </c>
      <c r="L39" s="31" t="s">
        <v>66</v>
      </c>
      <c r="M39" s="31"/>
      <c r="N39" s="31"/>
      <c r="O39" s="31"/>
      <c r="P39" s="31"/>
      <c r="Q39" s="31" t="s">
        <v>66</v>
      </c>
      <c r="R39" s="31" t="s">
        <v>66</v>
      </c>
      <c r="S39" s="31" t="s">
        <v>66</v>
      </c>
      <c r="T39" s="31" t="s">
        <v>66</v>
      </c>
      <c r="U39" s="31" t="s">
        <v>66</v>
      </c>
      <c r="V39" s="31" t="s">
        <v>66</v>
      </c>
      <c r="W39" s="31" t="s">
        <v>66</v>
      </c>
      <c r="X39" s="31" t="s">
        <v>66</v>
      </c>
      <c r="Y39" s="31" t="s">
        <v>66</v>
      </c>
      <c r="Z39" s="31" t="s">
        <v>66</v>
      </c>
      <c r="AA39" s="31" t="s">
        <v>66</v>
      </c>
      <c r="AB39" s="31" t="s">
        <v>66</v>
      </c>
    </row>
    <row r="40" spans="1:28" hidden="1" x14ac:dyDescent="0.45">
      <c r="A40" s="139"/>
      <c r="B40" s="35" t="s">
        <v>50</v>
      </c>
      <c r="C40" s="1">
        <v>4</v>
      </c>
      <c r="D40" s="1">
        <v>4</v>
      </c>
      <c r="E40" s="31"/>
      <c r="F40" s="31"/>
      <c r="G40" s="31"/>
      <c r="H40" s="31"/>
      <c r="I40" s="31" t="s">
        <v>66</v>
      </c>
      <c r="J40" s="31" t="s">
        <v>66</v>
      </c>
      <c r="K40" s="31" t="s">
        <v>66</v>
      </c>
      <c r="L40" s="31" t="s">
        <v>66</v>
      </c>
      <c r="M40" s="31"/>
      <c r="N40" s="31"/>
      <c r="O40" s="31"/>
      <c r="P40" s="31"/>
      <c r="Q40" s="31" t="s">
        <v>66</v>
      </c>
      <c r="R40" s="31" t="s">
        <v>66</v>
      </c>
      <c r="S40" s="31" t="s">
        <v>66</v>
      </c>
      <c r="T40" s="31" t="s">
        <v>66</v>
      </c>
      <c r="U40" s="31" t="s">
        <v>66</v>
      </c>
      <c r="V40" s="31" t="s">
        <v>66</v>
      </c>
      <c r="W40" s="31" t="s">
        <v>66</v>
      </c>
      <c r="X40" s="31" t="s">
        <v>66</v>
      </c>
      <c r="Y40" s="31" t="s">
        <v>66</v>
      </c>
      <c r="Z40" s="31" t="s">
        <v>66</v>
      </c>
      <c r="AA40" s="31" t="s">
        <v>66</v>
      </c>
      <c r="AB40" s="31" t="s">
        <v>66</v>
      </c>
    </row>
    <row r="41" spans="1:28" hidden="1" x14ac:dyDescent="0.45">
      <c r="A41" s="139" t="s">
        <v>51</v>
      </c>
      <c r="B41" s="35" t="s">
        <v>52</v>
      </c>
      <c r="C41" s="1">
        <v>6</v>
      </c>
      <c r="D41" s="1">
        <v>6</v>
      </c>
      <c r="E41" s="31" t="s">
        <v>66</v>
      </c>
      <c r="F41" s="31" t="s">
        <v>66</v>
      </c>
      <c r="G41" s="31" t="s">
        <v>66</v>
      </c>
      <c r="H41" s="31" t="s">
        <v>66</v>
      </c>
      <c r="I41" s="31" t="s">
        <v>66</v>
      </c>
      <c r="J41" s="31" t="s">
        <v>66</v>
      </c>
      <c r="K41" s="31" t="s">
        <v>66</v>
      </c>
      <c r="L41" s="31" t="s">
        <v>66</v>
      </c>
      <c r="M41" s="31" t="s">
        <v>66</v>
      </c>
      <c r="N41" s="31" t="s">
        <v>66</v>
      </c>
      <c r="O41" s="31" t="s">
        <v>66</v>
      </c>
      <c r="P41" s="31" t="s">
        <v>66</v>
      </c>
      <c r="Q41" s="31" t="s">
        <v>66</v>
      </c>
      <c r="R41" s="31" t="s">
        <v>66</v>
      </c>
      <c r="S41" s="31" t="s">
        <v>66</v>
      </c>
      <c r="T41" s="31" t="s">
        <v>66</v>
      </c>
      <c r="U41" s="31" t="s">
        <v>66</v>
      </c>
      <c r="V41" s="31" t="s">
        <v>66</v>
      </c>
      <c r="W41" s="31" t="s">
        <v>66</v>
      </c>
      <c r="X41" s="31" t="s">
        <v>66</v>
      </c>
      <c r="Y41" s="31" t="s">
        <v>66</v>
      </c>
      <c r="Z41" s="31" t="s">
        <v>66</v>
      </c>
      <c r="AA41" s="31" t="s">
        <v>66</v>
      </c>
      <c r="AB41" s="31" t="s">
        <v>66</v>
      </c>
    </row>
    <row r="42" spans="1:28" ht="14.65" hidden="1" thickBot="1" x14ac:dyDescent="0.5">
      <c r="A42" s="140"/>
      <c r="B42" s="36" t="s">
        <v>53</v>
      </c>
      <c r="C42" s="1">
        <v>0</v>
      </c>
      <c r="D42" s="1">
        <v>0</v>
      </c>
      <c r="E42" s="31" t="s">
        <v>66</v>
      </c>
      <c r="F42" s="31" t="s">
        <v>66</v>
      </c>
      <c r="G42" s="31" t="s">
        <v>66</v>
      </c>
      <c r="H42" s="31" t="s">
        <v>66</v>
      </c>
      <c r="I42" s="31" t="s">
        <v>66</v>
      </c>
      <c r="J42" s="31" t="s">
        <v>66</v>
      </c>
      <c r="K42" s="31" t="s">
        <v>66</v>
      </c>
      <c r="L42" s="31" t="s">
        <v>66</v>
      </c>
      <c r="M42" s="31" t="s">
        <v>66</v>
      </c>
      <c r="N42" s="31" t="s">
        <v>66</v>
      </c>
      <c r="O42" s="31" t="s">
        <v>66</v>
      </c>
      <c r="P42" s="31" t="s">
        <v>66</v>
      </c>
      <c r="Q42" s="31" t="s">
        <v>66</v>
      </c>
      <c r="R42" s="31" t="s">
        <v>66</v>
      </c>
      <c r="S42" s="31" t="s">
        <v>66</v>
      </c>
      <c r="T42" s="31" t="s">
        <v>66</v>
      </c>
      <c r="U42" s="31" t="s">
        <v>66</v>
      </c>
      <c r="V42" s="31" t="s">
        <v>66</v>
      </c>
      <c r="W42" s="31" t="s">
        <v>66</v>
      </c>
      <c r="X42" s="31" t="s">
        <v>66</v>
      </c>
      <c r="Y42" s="31" t="s">
        <v>66</v>
      </c>
      <c r="Z42" s="31" t="s">
        <v>66</v>
      </c>
      <c r="AA42" s="31" t="s">
        <v>66</v>
      </c>
      <c r="AB42" s="31" t="s">
        <v>66</v>
      </c>
    </row>
    <row r="43" spans="1:28" hidden="1" x14ac:dyDescent="0.45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8" x14ac:dyDescent="0.45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8" x14ac:dyDescent="0.45">
      <c r="A45" t="s">
        <v>67</v>
      </c>
    </row>
    <row r="46" spans="1:28" ht="14.65" thickBot="1" x14ac:dyDescent="0.5">
      <c r="C46" s="149" t="s">
        <v>55</v>
      </c>
      <c r="D46" s="149"/>
      <c r="E46" s="175" t="s">
        <v>25</v>
      </c>
      <c r="F46" s="175"/>
      <c r="G46" s="175"/>
      <c r="H46" s="175"/>
      <c r="I46" s="176" t="s">
        <v>56</v>
      </c>
      <c r="J46" s="176"/>
      <c r="K46" s="176"/>
      <c r="L46" s="176"/>
      <c r="M46" s="177" t="s">
        <v>57</v>
      </c>
      <c r="N46" s="177"/>
      <c r="O46" s="177"/>
      <c r="P46" s="177"/>
      <c r="Q46" s="178" t="s">
        <v>58</v>
      </c>
      <c r="R46" s="178"/>
      <c r="S46" s="178"/>
      <c r="T46" s="178"/>
      <c r="U46" s="148" t="s">
        <v>59</v>
      </c>
      <c r="V46" s="148"/>
      <c r="W46" s="148"/>
      <c r="X46" s="148"/>
      <c r="Y46" s="147" t="s">
        <v>39</v>
      </c>
      <c r="Z46" s="147"/>
      <c r="AA46" s="147"/>
      <c r="AB46" s="147"/>
    </row>
    <row r="47" spans="1:28" x14ac:dyDescent="0.45">
      <c r="A47" s="9" t="s">
        <v>3</v>
      </c>
      <c r="B47" s="34" t="s">
        <v>4</v>
      </c>
      <c r="C47" s="37" t="s">
        <v>60</v>
      </c>
      <c r="D47" s="37" t="s">
        <v>61</v>
      </c>
      <c r="E47" s="1" t="s">
        <v>62</v>
      </c>
      <c r="F47" s="1" t="s">
        <v>63</v>
      </c>
      <c r="G47" s="1" t="s">
        <v>64</v>
      </c>
      <c r="H47" s="1" t="s">
        <v>65</v>
      </c>
      <c r="I47" s="1" t="s">
        <v>62</v>
      </c>
      <c r="J47" s="1" t="s">
        <v>63</v>
      </c>
      <c r="K47" s="1" t="s">
        <v>64</v>
      </c>
      <c r="L47" s="1" t="s">
        <v>65</v>
      </c>
      <c r="M47" s="1" t="s">
        <v>62</v>
      </c>
      <c r="N47" s="1" t="s">
        <v>63</v>
      </c>
      <c r="O47" s="1" t="s">
        <v>64</v>
      </c>
      <c r="P47" s="1" t="s">
        <v>65</v>
      </c>
      <c r="Q47" s="1" t="s">
        <v>62</v>
      </c>
      <c r="R47" s="1" t="s">
        <v>63</v>
      </c>
      <c r="S47" s="1" t="s">
        <v>64</v>
      </c>
      <c r="T47" s="1" t="s">
        <v>65</v>
      </c>
      <c r="U47" s="1" t="s">
        <v>62</v>
      </c>
      <c r="V47" s="1" t="s">
        <v>63</v>
      </c>
      <c r="W47" s="1" t="s">
        <v>64</v>
      </c>
      <c r="X47" s="1" t="s">
        <v>65</v>
      </c>
      <c r="Y47" s="1" t="s">
        <v>62</v>
      </c>
      <c r="Z47" s="1" t="s">
        <v>63</v>
      </c>
      <c r="AA47" s="1" t="s">
        <v>64</v>
      </c>
      <c r="AB47" s="1" t="s">
        <v>65</v>
      </c>
    </row>
    <row r="48" spans="1:28" x14ac:dyDescent="0.45">
      <c r="A48" s="139" t="s">
        <v>10</v>
      </c>
      <c r="B48" s="35" t="s">
        <v>11</v>
      </c>
      <c r="C48" s="1">
        <f>COUNTA(E48:AB48)/2</f>
        <v>2</v>
      </c>
      <c r="D48" s="1">
        <v>2</v>
      </c>
      <c r="E48" s="31">
        <v>1</v>
      </c>
      <c r="F48" s="31">
        <v>2</v>
      </c>
      <c r="G48" s="31">
        <v>2</v>
      </c>
      <c r="H48" s="31">
        <v>2</v>
      </c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</row>
    <row r="49" spans="1:28" x14ac:dyDescent="0.45">
      <c r="A49" s="139"/>
      <c r="B49" s="35" t="s">
        <v>24</v>
      </c>
      <c r="C49" s="1">
        <f>COUNTA(E49:AB49)/2</f>
        <v>2</v>
      </c>
      <c r="D49" s="1">
        <v>2</v>
      </c>
      <c r="E49" s="31">
        <v>1</v>
      </c>
      <c r="F49" s="31">
        <v>2</v>
      </c>
      <c r="G49" s="31">
        <v>2</v>
      </c>
      <c r="H49" s="31">
        <v>2</v>
      </c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</row>
    <row r="50" spans="1:28" x14ac:dyDescent="0.45">
      <c r="A50" s="139"/>
      <c r="B50" s="35" t="s">
        <v>29</v>
      </c>
      <c r="C50" s="1">
        <f>COUNTA(E50:AB50)/2</f>
        <v>2</v>
      </c>
      <c r="D50" s="1">
        <v>2</v>
      </c>
      <c r="E50" s="31">
        <v>1</v>
      </c>
      <c r="F50" s="31">
        <v>2</v>
      </c>
      <c r="G50" s="31">
        <v>2</v>
      </c>
      <c r="H50" s="31">
        <v>2</v>
      </c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</row>
    <row r="51" spans="1:28" x14ac:dyDescent="0.45">
      <c r="A51" s="139"/>
      <c r="B51" s="35" t="s">
        <v>31</v>
      </c>
      <c r="C51" s="1">
        <v>2</v>
      </c>
      <c r="D51" s="1">
        <v>3</v>
      </c>
      <c r="E51" s="31">
        <v>1</v>
      </c>
      <c r="F51" s="31">
        <v>2</v>
      </c>
      <c r="G51" s="31">
        <v>2</v>
      </c>
      <c r="H51" s="31">
        <v>3</v>
      </c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</row>
    <row r="52" spans="1:28" x14ac:dyDescent="0.45">
      <c r="A52" s="139" t="s">
        <v>33</v>
      </c>
      <c r="B52" s="35" t="s">
        <v>34</v>
      </c>
      <c r="C52" s="1">
        <v>2</v>
      </c>
      <c r="D52" s="1">
        <v>3</v>
      </c>
      <c r="E52" s="31">
        <v>1</v>
      </c>
      <c r="F52" s="31">
        <v>2</v>
      </c>
      <c r="G52" s="31">
        <v>2</v>
      </c>
      <c r="H52" s="31">
        <v>3</v>
      </c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</row>
    <row r="53" spans="1:28" x14ac:dyDescent="0.45">
      <c r="A53" s="139"/>
      <c r="B53" s="35" t="s">
        <v>36</v>
      </c>
      <c r="C53" s="1">
        <v>3</v>
      </c>
      <c r="D53" s="1">
        <v>3</v>
      </c>
      <c r="E53" s="31">
        <v>1</v>
      </c>
      <c r="F53" s="31">
        <v>1</v>
      </c>
      <c r="G53" s="31">
        <v>2</v>
      </c>
      <c r="H53" s="31">
        <v>1</v>
      </c>
      <c r="I53" s="31">
        <v>1</v>
      </c>
      <c r="J53" s="31">
        <v>1</v>
      </c>
      <c r="K53" s="31">
        <v>2</v>
      </c>
      <c r="L53" s="31">
        <v>1</v>
      </c>
      <c r="M53" s="31">
        <v>1</v>
      </c>
      <c r="N53" s="31">
        <v>1</v>
      </c>
      <c r="O53" s="31">
        <v>2</v>
      </c>
      <c r="P53" s="31">
        <v>1</v>
      </c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</row>
    <row r="54" spans="1:28" x14ac:dyDescent="0.45">
      <c r="A54" s="139"/>
      <c r="B54" s="35" t="s">
        <v>38</v>
      </c>
      <c r="C54" s="1">
        <v>3</v>
      </c>
      <c r="D54" s="1">
        <v>3</v>
      </c>
      <c r="E54" s="31">
        <v>1</v>
      </c>
      <c r="F54" s="31">
        <v>1</v>
      </c>
      <c r="G54" s="31">
        <v>1</v>
      </c>
      <c r="H54" s="31">
        <v>1</v>
      </c>
      <c r="I54" s="31">
        <v>1</v>
      </c>
      <c r="J54" s="31">
        <v>2</v>
      </c>
      <c r="K54" s="31">
        <v>1</v>
      </c>
      <c r="L54" s="31">
        <v>2</v>
      </c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</row>
    <row r="55" spans="1:28" x14ac:dyDescent="0.45">
      <c r="A55" s="139"/>
      <c r="B55" s="35" t="s">
        <v>40</v>
      </c>
      <c r="C55" s="1">
        <v>4</v>
      </c>
      <c r="D55" s="1">
        <v>4</v>
      </c>
      <c r="E55" s="31">
        <v>1</v>
      </c>
      <c r="F55" s="31">
        <v>1</v>
      </c>
      <c r="G55" s="31">
        <v>2</v>
      </c>
      <c r="H55" s="31">
        <v>1</v>
      </c>
      <c r="I55" s="31">
        <v>1</v>
      </c>
      <c r="J55" s="31">
        <v>1</v>
      </c>
      <c r="K55" s="31">
        <v>2</v>
      </c>
      <c r="L55" s="31">
        <v>1</v>
      </c>
      <c r="M55" s="31">
        <v>1</v>
      </c>
      <c r="N55" s="31">
        <v>1</v>
      </c>
      <c r="O55" s="31">
        <v>2</v>
      </c>
      <c r="P55" s="31">
        <v>1</v>
      </c>
      <c r="Q55" s="31">
        <v>1</v>
      </c>
      <c r="R55" s="31">
        <v>1</v>
      </c>
      <c r="S55" s="31">
        <v>2</v>
      </c>
      <c r="T55" s="31">
        <v>1</v>
      </c>
      <c r="U55" s="31"/>
      <c r="V55" s="31"/>
      <c r="W55" s="31"/>
      <c r="X55" s="31"/>
      <c r="Y55" s="31"/>
      <c r="Z55" s="31"/>
      <c r="AA55" s="31"/>
      <c r="AB55" s="31"/>
    </row>
    <row r="56" spans="1:28" x14ac:dyDescent="0.45">
      <c r="A56" s="14" t="s">
        <v>41</v>
      </c>
      <c r="B56" s="35" t="s">
        <v>42</v>
      </c>
      <c r="C56" s="1">
        <v>3</v>
      </c>
      <c r="D56" s="1">
        <v>3</v>
      </c>
      <c r="E56" s="31">
        <v>1</v>
      </c>
      <c r="F56" s="31">
        <v>1</v>
      </c>
      <c r="G56" s="31">
        <v>1</v>
      </c>
      <c r="H56" s="31">
        <v>1</v>
      </c>
      <c r="I56" s="31">
        <v>1</v>
      </c>
      <c r="J56" s="31">
        <v>2</v>
      </c>
      <c r="K56" s="31">
        <v>1</v>
      </c>
      <c r="L56" s="31">
        <v>2</v>
      </c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</row>
    <row r="57" spans="1:28" x14ac:dyDescent="0.45">
      <c r="A57" s="139" t="s">
        <v>45</v>
      </c>
      <c r="B57" s="35" t="s">
        <v>46</v>
      </c>
      <c r="C57" s="1">
        <v>5</v>
      </c>
      <c r="D57" s="1">
        <v>5</v>
      </c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>
        <v>1</v>
      </c>
      <c r="R57" s="31">
        <v>1</v>
      </c>
      <c r="S57" s="31">
        <v>1</v>
      </c>
      <c r="T57" s="31">
        <v>1</v>
      </c>
      <c r="U57" s="31">
        <v>1</v>
      </c>
      <c r="V57" s="31">
        <v>2</v>
      </c>
      <c r="W57" s="31">
        <v>1</v>
      </c>
      <c r="X57" s="31">
        <v>2</v>
      </c>
      <c r="Y57" s="31">
        <v>1</v>
      </c>
      <c r="Z57" s="31">
        <v>2</v>
      </c>
      <c r="AA57" s="31">
        <v>1</v>
      </c>
      <c r="AB57" s="31">
        <v>2</v>
      </c>
    </row>
    <row r="58" spans="1:28" x14ac:dyDescent="0.45">
      <c r="A58" s="139"/>
      <c r="B58" s="35" t="s">
        <v>48</v>
      </c>
      <c r="C58" s="1">
        <v>4</v>
      </c>
      <c r="D58" s="1">
        <v>4</v>
      </c>
      <c r="E58" s="31"/>
      <c r="F58" s="31"/>
      <c r="G58" s="31"/>
      <c r="H58" s="31"/>
      <c r="I58" s="31">
        <v>1</v>
      </c>
      <c r="J58" s="31">
        <v>1</v>
      </c>
      <c r="K58" s="31">
        <v>0</v>
      </c>
      <c r="L58" s="31">
        <v>1</v>
      </c>
      <c r="M58" s="31"/>
      <c r="N58" s="31"/>
      <c r="O58" s="31"/>
      <c r="P58" s="31"/>
      <c r="Q58" s="31">
        <v>1</v>
      </c>
      <c r="R58" s="31">
        <v>1</v>
      </c>
      <c r="S58" s="31">
        <v>1</v>
      </c>
      <c r="T58" s="31">
        <v>1</v>
      </c>
      <c r="U58" s="31">
        <v>1</v>
      </c>
      <c r="V58" s="31">
        <v>2</v>
      </c>
      <c r="W58" s="31">
        <v>2</v>
      </c>
      <c r="X58" s="31">
        <v>2</v>
      </c>
      <c r="Y58" s="31"/>
      <c r="Z58" s="31"/>
      <c r="AA58" s="31"/>
      <c r="AB58" s="31"/>
    </row>
    <row r="59" spans="1:28" x14ac:dyDescent="0.45">
      <c r="A59" s="139"/>
      <c r="B59" s="35" t="s">
        <v>49</v>
      </c>
      <c r="C59" s="1">
        <v>4</v>
      </c>
      <c r="D59" s="1">
        <v>4</v>
      </c>
      <c r="E59" s="31"/>
      <c r="F59" s="31"/>
      <c r="G59" s="31"/>
      <c r="H59" s="31"/>
      <c r="I59" s="31">
        <v>1</v>
      </c>
      <c r="J59" s="31">
        <v>1</v>
      </c>
      <c r="K59" s="31">
        <v>0</v>
      </c>
      <c r="L59" s="31">
        <v>1</v>
      </c>
      <c r="M59" s="31"/>
      <c r="N59" s="31"/>
      <c r="O59" s="31"/>
      <c r="P59" s="31"/>
      <c r="Q59" s="31">
        <v>1</v>
      </c>
      <c r="R59" s="31">
        <v>1</v>
      </c>
      <c r="S59" s="31">
        <v>1</v>
      </c>
      <c r="T59" s="31">
        <v>1</v>
      </c>
      <c r="U59" s="31">
        <v>1</v>
      </c>
      <c r="V59" s="31">
        <v>2</v>
      </c>
      <c r="W59" s="31">
        <v>2</v>
      </c>
      <c r="X59" s="31">
        <v>2</v>
      </c>
      <c r="Y59" s="31"/>
      <c r="Z59" s="31"/>
      <c r="AA59" s="31"/>
      <c r="AB59" s="31"/>
    </row>
    <row r="60" spans="1:28" x14ac:dyDescent="0.45">
      <c r="A60" s="139"/>
      <c r="B60" s="35" t="s">
        <v>50</v>
      </c>
      <c r="C60" s="1">
        <v>4</v>
      </c>
      <c r="D60" s="1">
        <v>4</v>
      </c>
      <c r="E60" s="31"/>
      <c r="F60" s="31"/>
      <c r="G60" s="31"/>
      <c r="H60" s="31"/>
      <c r="I60" s="31">
        <v>1</v>
      </c>
      <c r="J60" s="31">
        <v>1</v>
      </c>
      <c r="K60" s="31">
        <v>0</v>
      </c>
      <c r="L60" s="31">
        <v>1</v>
      </c>
      <c r="M60" s="31"/>
      <c r="N60" s="31"/>
      <c r="O60" s="31"/>
      <c r="P60" s="31"/>
      <c r="Q60" s="31">
        <v>1</v>
      </c>
      <c r="R60" s="31">
        <v>1</v>
      </c>
      <c r="S60" s="31">
        <v>1</v>
      </c>
      <c r="T60" s="31">
        <v>1</v>
      </c>
      <c r="U60" s="31"/>
      <c r="V60" s="31"/>
      <c r="W60" s="31"/>
      <c r="X60" s="31"/>
      <c r="Y60" s="31">
        <v>1</v>
      </c>
      <c r="Z60" s="31">
        <v>2</v>
      </c>
      <c r="AA60" s="31">
        <v>2</v>
      </c>
      <c r="AB60" s="31">
        <v>2</v>
      </c>
    </row>
    <row r="61" spans="1:28" x14ac:dyDescent="0.45">
      <c r="A61" s="139" t="s">
        <v>51</v>
      </c>
      <c r="B61" s="35" t="s">
        <v>52</v>
      </c>
      <c r="C61" s="1">
        <v>6</v>
      </c>
      <c r="D61" s="1">
        <v>6</v>
      </c>
      <c r="E61" s="31">
        <v>1</v>
      </c>
      <c r="F61" s="31">
        <v>1</v>
      </c>
      <c r="G61" s="31">
        <v>1</v>
      </c>
      <c r="H61" s="31">
        <v>1</v>
      </c>
      <c r="I61" s="31">
        <v>1</v>
      </c>
      <c r="J61" s="31">
        <v>1</v>
      </c>
      <c r="K61" s="31">
        <v>1</v>
      </c>
      <c r="L61" s="31">
        <v>1</v>
      </c>
      <c r="M61" s="31">
        <v>1</v>
      </c>
      <c r="N61" s="31">
        <v>1</v>
      </c>
      <c r="O61" s="31">
        <v>1</v>
      </c>
      <c r="P61" s="31">
        <v>1</v>
      </c>
      <c r="Q61" s="31">
        <v>1</v>
      </c>
      <c r="R61" s="31">
        <v>1</v>
      </c>
      <c r="S61" s="31">
        <v>1</v>
      </c>
      <c r="T61" s="31">
        <v>1</v>
      </c>
      <c r="U61" s="31">
        <v>1</v>
      </c>
      <c r="V61" s="31">
        <v>1</v>
      </c>
      <c r="W61" s="31">
        <v>1</v>
      </c>
      <c r="X61" s="31">
        <v>1</v>
      </c>
      <c r="Y61" s="31">
        <v>1</v>
      </c>
      <c r="Z61" s="31">
        <v>1</v>
      </c>
      <c r="AA61" s="31">
        <v>1</v>
      </c>
      <c r="AB61" s="31">
        <v>1</v>
      </c>
    </row>
    <row r="62" spans="1:28" ht="14.65" thickBot="1" x14ac:dyDescent="0.5">
      <c r="A62" s="140"/>
      <c r="B62" s="36" t="s">
        <v>53</v>
      </c>
      <c r="C62" s="1">
        <v>2</v>
      </c>
      <c r="D62" s="1">
        <v>0</v>
      </c>
      <c r="E62" s="31">
        <v>1</v>
      </c>
      <c r="F62" s="31">
        <v>1</v>
      </c>
      <c r="G62" s="31">
        <v>1</v>
      </c>
      <c r="H62" s="31">
        <v>0</v>
      </c>
      <c r="I62" s="31">
        <v>1</v>
      </c>
      <c r="J62" s="31">
        <v>1</v>
      </c>
      <c r="K62" s="31">
        <v>1</v>
      </c>
      <c r="L62" s="31">
        <v>0</v>
      </c>
      <c r="M62" s="31">
        <v>1</v>
      </c>
      <c r="N62" s="31">
        <v>0</v>
      </c>
      <c r="O62" s="31">
        <v>0</v>
      </c>
      <c r="P62" s="31">
        <v>0</v>
      </c>
      <c r="Q62" s="31">
        <v>1</v>
      </c>
      <c r="R62" s="31">
        <v>0</v>
      </c>
      <c r="S62" s="31">
        <v>0</v>
      </c>
      <c r="T62" s="31">
        <v>0</v>
      </c>
      <c r="U62" s="31">
        <v>1</v>
      </c>
      <c r="V62" s="31">
        <v>0</v>
      </c>
      <c r="W62" s="31">
        <v>0</v>
      </c>
      <c r="X62" s="31">
        <v>0</v>
      </c>
      <c r="Y62" s="31">
        <v>1</v>
      </c>
      <c r="Z62" s="31">
        <v>0</v>
      </c>
      <c r="AA62" s="31">
        <v>0</v>
      </c>
      <c r="AB62" s="31">
        <v>0</v>
      </c>
    </row>
    <row r="63" spans="1:28" x14ac:dyDescent="0.45"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8" x14ac:dyDescent="0.45">
      <c r="E64">
        <f>SUM(E48:H62)</f>
        <v>62</v>
      </c>
      <c r="I64">
        <f>SUM(I48:L62)</f>
        <v>38</v>
      </c>
      <c r="M64">
        <f>SUM(M48:P62)</f>
        <v>15</v>
      </c>
      <c r="Q64">
        <f>SUM(Q48:T62)</f>
        <v>26</v>
      </c>
      <c r="U64">
        <f>SUM(U48:X62)</f>
        <v>25</v>
      </c>
      <c r="Y64">
        <f>SUM(Y48:AB62)</f>
        <v>18</v>
      </c>
    </row>
    <row r="67" spans="1:56" x14ac:dyDescent="0.45">
      <c r="A67" t="s">
        <v>68</v>
      </c>
    </row>
    <row r="68" spans="1:56" ht="14.65" thickBot="1" x14ac:dyDescent="0.5">
      <c r="C68" s="172" t="s">
        <v>25</v>
      </c>
      <c r="D68" s="173"/>
      <c r="E68" s="173"/>
      <c r="F68" s="173"/>
      <c r="G68" s="173"/>
      <c r="H68" s="173"/>
      <c r="I68" s="173"/>
      <c r="J68" s="174"/>
      <c r="K68" s="151"/>
      <c r="L68" s="164" t="s">
        <v>56</v>
      </c>
      <c r="M68" s="165"/>
      <c r="N68" s="165"/>
      <c r="O68" s="165"/>
      <c r="P68" s="165"/>
      <c r="Q68" s="165"/>
      <c r="R68" s="166"/>
      <c r="T68" s="151"/>
      <c r="U68" s="167" t="s">
        <v>57</v>
      </c>
      <c r="V68" s="168"/>
      <c r="W68" s="168"/>
      <c r="X68" s="168"/>
      <c r="Y68" s="168"/>
      <c r="Z68" s="168"/>
      <c r="AA68" s="168"/>
      <c r="AB68" s="169"/>
      <c r="AC68" s="151"/>
      <c r="AD68" s="160" t="s">
        <v>58</v>
      </c>
      <c r="AE68" s="161"/>
      <c r="AF68" s="161"/>
      <c r="AG68" s="161"/>
      <c r="AH68" s="161"/>
      <c r="AI68" s="161"/>
      <c r="AJ68" s="161"/>
      <c r="AK68" s="162"/>
      <c r="AL68" s="151"/>
      <c r="AM68" s="157" t="s">
        <v>59</v>
      </c>
      <c r="AN68" s="158"/>
      <c r="AO68" s="158"/>
      <c r="AP68" s="158"/>
      <c r="AQ68" s="158"/>
      <c r="AR68" s="158"/>
      <c r="AS68" s="158"/>
      <c r="AT68" s="159"/>
      <c r="AU68" s="151"/>
      <c r="AV68" s="154" t="s">
        <v>39</v>
      </c>
      <c r="AW68" s="155"/>
      <c r="AX68" s="155"/>
      <c r="AY68" s="155"/>
      <c r="AZ68" s="155"/>
      <c r="BA68" s="155"/>
      <c r="BB68" s="155"/>
      <c r="BC68" s="156"/>
      <c r="BD68" s="151"/>
    </row>
    <row r="69" spans="1:56" x14ac:dyDescent="0.45">
      <c r="A69" s="9" t="s">
        <v>3</v>
      </c>
      <c r="B69" s="34" t="s">
        <v>4</v>
      </c>
      <c r="C69" s="132" t="s">
        <v>62</v>
      </c>
      <c r="D69" s="137" t="s">
        <v>63</v>
      </c>
      <c r="E69" s="137"/>
      <c r="F69" s="137" t="s">
        <v>64</v>
      </c>
      <c r="G69" s="137"/>
      <c r="H69" s="142" t="s">
        <v>65</v>
      </c>
      <c r="I69" s="137"/>
      <c r="J69" s="141"/>
      <c r="K69" s="152"/>
      <c r="L69" s="132" t="s">
        <v>62</v>
      </c>
      <c r="M69" s="137" t="s">
        <v>63</v>
      </c>
      <c r="N69" s="137"/>
      <c r="O69" s="137" t="s">
        <v>64</v>
      </c>
      <c r="P69" s="137"/>
      <c r="Q69" s="141" t="s">
        <v>65</v>
      </c>
      <c r="R69" s="142"/>
      <c r="T69" s="152"/>
      <c r="U69" s="132" t="s">
        <v>62</v>
      </c>
      <c r="V69" s="143" t="s">
        <v>63</v>
      </c>
      <c r="W69" s="144"/>
      <c r="X69" s="137" t="s">
        <v>64</v>
      </c>
      <c r="Y69" s="137"/>
      <c r="Z69" s="136" t="s">
        <v>65</v>
      </c>
      <c r="AC69" s="152"/>
      <c r="AD69" s="132" t="s">
        <v>62</v>
      </c>
      <c r="AE69" s="143" t="s">
        <v>63</v>
      </c>
      <c r="AF69" s="144"/>
      <c r="AG69" s="137" t="s">
        <v>64</v>
      </c>
      <c r="AH69" s="137"/>
      <c r="AI69" s="143" t="s">
        <v>65</v>
      </c>
      <c r="AJ69" s="163"/>
      <c r="AK69" s="144"/>
      <c r="AL69" s="152"/>
      <c r="AM69" s="132" t="s">
        <v>62</v>
      </c>
      <c r="AN69" s="137" t="s">
        <v>63</v>
      </c>
      <c r="AO69" s="137"/>
      <c r="AP69" s="137" t="s">
        <v>64</v>
      </c>
      <c r="AQ69" s="137"/>
      <c r="AR69" s="141" t="s">
        <v>65</v>
      </c>
      <c r="AS69" s="142"/>
      <c r="AU69" s="152"/>
      <c r="AV69" s="132" t="s">
        <v>62</v>
      </c>
      <c r="AW69" s="137" t="s">
        <v>63</v>
      </c>
      <c r="AX69" s="137"/>
      <c r="AY69" s="137" t="s">
        <v>64</v>
      </c>
      <c r="AZ69" s="137"/>
      <c r="BA69" s="141" t="s">
        <v>65</v>
      </c>
      <c r="BB69" s="142"/>
      <c r="BD69" s="152"/>
    </row>
    <row r="70" spans="1:56" x14ac:dyDescent="0.45">
      <c r="A70" s="139" t="s">
        <v>10</v>
      </c>
      <c r="B70" s="35" t="s">
        <v>11</v>
      </c>
      <c r="C70" s="53">
        <f t="shared" ref="C70:C78" si="13">ROUNDUP(5%*$M$7,0)</f>
        <v>1</v>
      </c>
      <c r="D70" s="42">
        <f>ROUND(0.5*E70,0)</f>
        <v>1</v>
      </c>
      <c r="E70" s="120">
        <f>ROUND(10%*$D$87,0)</f>
        <v>1</v>
      </c>
      <c r="F70" s="42">
        <f t="shared" ref="F70:F75" si="14">ROUND(0.5*G70,0)</f>
        <v>1</v>
      </c>
      <c r="G70" s="119">
        <f t="shared" ref="G70:G75" si="15">ROUND(10%*$F$87,0)</f>
        <v>2</v>
      </c>
      <c r="H70" s="39">
        <f>ROUND(I70/2,0)</f>
        <v>1</v>
      </c>
      <c r="I70" s="123">
        <f>ROUND(10%*$H$87,0)</f>
        <v>1</v>
      </c>
      <c r="J70" s="55"/>
      <c r="K70" s="152"/>
      <c r="L70" s="60"/>
      <c r="M70" s="45"/>
      <c r="N70" s="43"/>
      <c r="O70" s="52"/>
      <c r="P70" s="41"/>
      <c r="Q70" s="52"/>
      <c r="R70" s="41"/>
      <c r="T70" s="152"/>
      <c r="U70" s="60"/>
      <c r="V70" s="60"/>
      <c r="X70" s="52"/>
      <c r="Y70" s="41"/>
      <c r="Z70" s="60"/>
      <c r="AC70" s="152"/>
      <c r="AD70" s="60"/>
      <c r="AE70" s="60"/>
      <c r="AG70" s="52"/>
      <c r="AH70" s="41"/>
      <c r="AI70" s="60"/>
      <c r="AL70" s="152"/>
      <c r="AM70" s="63"/>
      <c r="AN70" s="52"/>
      <c r="AO70" s="41"/>
      <c r="AP70" s="52"/>
      <c r="AQ70" s="41"/>
      <c r="AR70" s="52"/>
      <c r="AS70" s="41"/>
      <c r="AU70" s="152"/>
      <c r="AV70" s="63"/>
      <c r="AW70" s="52"/>
      <c r="AX70" s="41"/>
      <c r="AY70" s="52"/>
      <c r="AZ70" s="41"/>
      <c r="BA70" s="52"/>
      <c r="BB70" s="41"/>
      <c r="BD70" s="152"/>
    </row>
    <row r="71" spans="1:56" x14ac:dyDescent="0.45">
      <c r="A71" s="139"/>
      <c r="B71" s="35" t="s">
        <v>24</v>
      </c>
      <c r="C71" s="117">
        <f t="shared" si="13"/>
        <v>1</v>
      </c>
      <c r="D71" s="42">
        <f>ROUND(0.5*E71,0)</f>
        <v>1</v>
      </c>
      <c r="E71" s="119">
        <f>ROUND(10%*$D$87,0)</f>
        <v>1</v>
      </c>
      <c r="F71" s="42">
        <f t="shared" si="14"/>
        <v>1</v>
      </c>
      <c r="G71" s="119">
        <f t="shared" si="15"/>
        <v>2</v>
      </c>
      <c r="H71" s="39">
        <f>ROUND(I71/2,0)</f>
        <v>1</v>
      </c>
      <c r="I71" s="123">
        <f>ROUND(10%*$H$87,0)</f>
        <v>1</v>
      </c>
      <c r="J71" s="56"/>
      <c r="K71" s="152"/>
      <c r="L71" s="50"/>
      <c r="M71" s="45"/>
      <c r="N71" s="43"/>
      <c r="O71" s="45"/>
      <c r="P71" s="43"/>
      <c r="Q71" s="45"/>
      <c r="R71" s="43"/>
      <c r="T71" s="152"/>
      <c r="U71" s="50"/>
      <c r="V71" s="50"/>
      <c r="X71" s="45"/>
      <c r="Y71" s="43"/>
      <c r="Z71" s="50"/>
      <c r="AC71" s="152"/>
      <c r="AD71" s="50"/>
      <c r="AE71" s="50"/>
      <c r="AG71" s="45"/>
      <c r="AH71" s="43"/>
      <c r="AI71" s="50"/>
      <c r="AL71" s="152"/>
      <c r="AM71" s="50"/>
      <c r="AN71" s="45"/>
      <c r="AO71" s="43"/>
      <c r="AP71" s="45"/>
      <c r="AQ71" s="43"/>
      <c r="AR71" s="45"/>
      <c r="AS71" s="43"/>
      <c r="AU71" s="152"/>
      <c r="AV71" s="50"/>
      <c r="AW71" s="45"/>
      <c r="AX71" s="43"/>
      <c r="AY71" s="45"/>
      <c r="AZ71" s="43"/>
      <c r="BA71" s="45"/>
      <c r="BB71" s="43"/>
      <c r="BD71" s="152"/>
    </row>
    <row r="72" spans="1:56" x14ac:dyDescent="0.45">
      <c r="A72" s="139"/>
      <c r="B72" s="35" t="s">
        <v>29</v>
      </c>
      <c r="C72" s="117">
        <f t="shared" si="13"/>
        <v>1</v>
      </c>
      <c r="D72" s="42">
        <f>ROUND(0.5*E72,0)</f>
        <v>1</v>
      </c>
      <c r="E72" s="119">
        <f>ROUND(10%*$D$87,0)</f>
        <v>1</v>
      </c>
      <c r="F72" s="42">
        <f t="shared" si="14"/>
        <v>1</v>
      </c>
      <c r="G72" s="119">
        <f t="shared" si="15"/>
        <v>2</v>
      </c>
      <c r="H72" s="39">
        <f>ROUND(I72/2,0)</f>
        <v>1</v>
      </c>
      <c r="I72" s="123">
        <f>ROUND(10%*$H$87,0)</f>
        <v>1</v>
      </c>
      <c r="J72" s="56"/>
      <c r="K72" s="152"/>
      <c r="L72" s="50"/>
      <c r="M72" s="45"/>
      <c r="N72" s="43"/>
      <c r="O72" s="45"/>
      <c r="P72" s="43"/>
      <c r="Q72" s="45"/>
      <c r="R72" s="43"/>
      <c r="T72" s="152"/>
      <c r="U72" s="50"/>
      <c r="V72" s="50"/>
      <c r="X72" s="45"/>
      <c r="Y72" s="43"/>
      <c r="Z72" s="50"/>
      <c r="AC72" s="152"/>
      <c r="AD72" s="50"/>
      <c r="AE72" s="50"/>
      <c r="AG72" s="45"/>
      <c r="AH72" s="43"/>
      <c r="AI72" s="50"/>
      <c r="AL72" s="152"/>
      <c r="AM72" s="50"/>
      <c r="AN72" s="45"/>
      <c r="AO72" s="43"/>
      <c r="AP72" s="45"/>
      <c r="AQ72" s="43"/>
      <c r="AR72" s="45"/>
      <c r="AS72" s="43"/>
      <c r="AU72" s="152"/>
      <c r="AV72" s="50"/>
      <c r="AW72" s="45"/>
      <c r="AX72" s="43"/>
      <c r="AY72" s="45"/>
      <c r="AZ72" s="43"/>
      <c r="BA72" s="45"/>
      <c r="BB72" s="43"/>
      <c r="BD72" s="152"/>
    </row>
    <row r="73" spans="1:56" x14ac:dyDescent="0.45">
      <c r="A73" s="139"/>
      <c r="B73" s="35" t="s">
        <v>31</v>
      </c>
      <c r="C73" s="117">
        <f t="shared" si="13"/>
        <v>1</v>
      </c>
      <c r="D73" s="42">
        <f>ROUND(0.5*E73,0)</f>
        <v>1</v>
      </c>
      <c r="E73" s="119">
        <f>ROUND(10%*$D$87,0)</f>
        <v>1</v>
      </c>
      <c r="F73" s="42">
        <f t="shared" si="14"/>
        <v>1</v>
      </c>
      <c r="G73" s="119">
        <f t="shared" si="15"/>
        <v>2</v>
      </c>
      <c r="H73" s="39">
        <f>ROUND(I73/2,0)</f>
        <v>1</v>
      </c>
      <c r="I73" s="39">
        <f>ROUND(J73/2,0)</f>
        <v>2</v>
      </c>
      <c r="J73" s="119">
        <f>ROUND(20%*$H$87,0)</f>
        <v>3</v>
      </c>
      <c r="K73" s="152"/>
      <c r="L73" s="50"/>
      <c r="M73" s="45"/>
      <c r="N73" s="43"/>
      <c r="O73" s="45"/>
      <c r="P73" s="43"/>
      <c r="Q73" s="45"/>
      <c r="R73" s="43"/>
      <c r="T73" s="152"/>
      <c r="U73" s="50"/>
      <c r="V73" s="50"/>
      <c r="X73" s="45"/>
      <c r="Y73" s="43"/>
      <c r="Z73" s="50"/>
      <c r="AC73" s="152"/>
      <c r="AD73" s="50"/>
      <c r="AE73" s="50"/>
      <c r="AG73" s="45"/>
      <c r="AH73" s="43"/>
      <c r="AI73" s="50"/>
      <c r="AL73" s="152"/>
      <c r="AM73" s="50"/>
      <c r="AN73" s="45"/>
      <c r="AO73" s="43"/>
      <c r="AP73" s="45"/>
      <c r="AQ73" s="43"/>
      <c r="AR73" s="45"/>
      <c r="AS73" s="43"/>
      <c r="AU73" s="152"/>
      <c r="AV73" s="50"/>
      <c r="AW73" s="45"/>
      <c r="AX73" s="43"/>
      <c r="AY73" s="45"/>
      <c r="AZ73" s="43"/>
      <c r="BA73" s="45"/>
      <c r="BB73" s="43"/>
      <c r="BD73" s="152"/>
    </row>
    <row r="74" spans="1:56" x14ac:dyDescent="0.45">
      <c r="A74" s="139" t="s">
        <v>33</v>
      </c>
      <c r="B74" s="35" t="s">
        <v>34</v>
      </c>
      <c r="C74" s="117">
        <f t="shared" si="13"/>
        <v>1</v>
      </c>
      <c r="D74" s="42">
        <f>ROUND(0.5*E74,0)</f>
        <v>1</v>
      </c>
      <c r="E74" s="119">
        <f>ROUND(10%*$D$87,0)</f>
        <v>1</v>
      </c>
      <c r="F74" s="42">
        <f t="shared" si="14"/>
        <v>1</v>
      </c>
      <c r="G74" s="119">
        <f t="shared" si="15"/>
        <v>2</v>
      </c>
      <c r="H74" s="39">
        <f>ROUND(I74/2,0)</f>
        <v>1</v>
      </c>
      <c r="I74" s="39">
        <f>ROUND(J74/2,0)</f>
        <v>2</v>
      </c>
      <c r="J74" s="119">
        <f>ROUND(20%*$H$87,0)</f>
        <v>3</v>
      </c>
      <c r="K74" s="152"/>
      <c r="L74" s="50"/>
      <c r="M74" s="45"/>
      <c r="N74" s="43"/>
      <c r="O74" s="45"/>
      <c r="P74" s="43"/>
      <c r="Q74" s="45"/>
      <c r="R74" s="43"/>
      <c r="T74" s="152"/>
      <c r="U74" s="50"/>
      <c r="V74" s="50"/>
      <c r="X74" s="45"/>
      <c r="Y74" s="43"/>
      <c r="Z74" s="50"/>
      <c r="AC74" s="152"/>
      <c r="AD74" s="50"/>
      <c r="AE74" s="50"/>
      <c r="AG74" s="45"/>
      <c r="AH74" s="43"/>
      <c r="AI74" s="50"/>
      <c r="AL74" s="152"/>
      <c r="AM74" s="50"/>
      <c r="AN74" s="45"/>
      <c r="AO74" s="43"/>
      <c r="AP74" s="45"/>
      <c r="AQ74" s="43"/>
      <c r="AR74" s="45"/>
      <c r="AS74" s="43"/>
      <c r="AU74" s="152"/>
      <c r="AV74" s="50"/>
      <c r="AW74" s="45"/>
      <c r="AX74" s="43"/>
      <c r="AY74" s="45"/>
      <c r="AZ74" s="43"/>
      <c r="BA74" s="45"/>
      <c r="BB74" s="43"/>
      <c r="BD74" s="152"/>
    </row>
    <row r="75" spans="1:56" x14ac:dyDescent="0.45">
      <c r="A75" s="139"/>
      <c r="B75" s="35" t="s">
        <v>36</v>
      </c>
      <c r="C75" s="117">
        <f t="shared" si="13"/>
        <v>1</v>
      </c>
      <c r="D75" s="121">
        <f>ROUND(5%*$D$87,0)</f>
        <v>1</v>
      </c>
      <c r="E75" s="43"/>
      <c r="F75" s="42">
        <f t="shared" si="14"/>
        <v>1</v>
      </c>
      <c r="G75" s="119">
        <f t="shared" si="15"/>
        <v>2</v>
      </c>
      <c r="H75" s="121">
        <f>ROUND(5%*$H$87,0)</f>
        <v>1</v>
      </c>
      <c r="I75" s="40"/>
      <c r="J75" s="56"/>
      <c r="K75" s="152"/>
      <c r="L75" s="59">
        <f>ROUND(5%*$M$8,0)</f>
        <v>1</v>
      </c>
      <c r="M75" s="121">
        <f>ROUND(5%*$M$87,0)</f>
        <v>1</v>
      </c>
      <c r="N75" s="43"/>
      <c r="O75" s="42">
        <f>ROUND(0.5*P75,0)</f>
        <v>1</v>
      </c>
      <c r="P75" s="119">
        <f>ROUND(15%*$O$87,0)</f>
        <v>2</v>
      </c>
      <c r="Q75" s="121">
        <f>ROUND(5%*$Q$87,0)</f>
        <v>1</v>
      </c>
      <c r="R75" s="43"/>
      <c r="T75" s="152"/>
      <c r="U75" s="59">
        <f>ROUND(15%*$M$9,0)</f>
        <v>2</v>
      </c>
      <c r="V75" s="59">
        <f>ROUND(30%*$V$87,0)</f>
        <v>1</v>
      </c>
      <c r="X75" s="42">
        <f>ROUND(0.5*Y75,0)</f>
        <v>1</v>
      </c>
      <c r="Y75" s="119">
        <f>ROUND(30%*$X$87,0)</f>
        <v>1</v>
      </c>
      <c r="Z75" s="59">
        <f>ROUND(30%*$Z$87,0)</f>
        <v>1</v>
      </c>
      <c r="AC75" s="152"/>
      <c r="AD75" s="50"/>
      <c r="AE75" s="50"/>
      <c r="AG75" s="45"/>
      <c r="AH75" s="43"/>
      <c r="AI75" s="50"/>
      <c r="AL75" s="152"/>
      <c r="AM75" s="50"/>
      <c r="AN75" s="45"/>
      <c r="AO75" s="43"/>
      <c r="AP75" s="45"/>
      <c r="AQ75" s="43"/>
      <c r="AR75" s="45"/>
      <c r="AS75" s="43"/>
      <c r="AU75" s="152"/>
      <c r="AV75" s="50"/>
      <c r="AW75" s="45"/>
      <c r="AX75" s="43"/>
      <c r="AY75" s="45"/>
      <c r="AZ75" s="43"/>
      <c r="BA75" s="45"/>
      <c r="BB75" s="43"/>
      <c r="BD75" s="152"/>
    </row>
    <row r="76" spans="1:56" x14ac:dyDescent="0.45">
      <c r="A76" s="139"/>
      <c r="B76" s="35" t="s">
        <v>38</v>
      </c>
      <c r="C76" s="117">
        <f t="shared" si="13"/>
        <v>1</v>
      </c>
      <c r="D76" s="121">
        <f>ROUND(5%*$D$87,0)</f>
        <v>1</v>
      </c>
      <c r="E76" s="43"/>
      <c r="F76" s="121">
        <f>ROUND(5%*$F$87,0)</f>
        <v>1</v>
      </c>
      <c r="G76" s="43"/>
      <c r="H76" s="121">
        <f>ROUND(5%*$H$87,0)</f>
        <v>1</v>
      </c>
      <c r="I76" s="40"/>
      <c r="J76" s="56"/>
      <c r="K76" s="152"/>
      <c r="L76" s="59">
        <f>ROUND(5%*$M$8,0)</f>
        <v>1</v>
      </c>
      <c r="M76" s="42">
        <f>ROUND(0.5*N76,0)</f>
        <v>1</v>
      </c>
      <c r="N76" s="119">
        <f>ROUND(15%*$M$87,0)</f>
        <v>2</v>
      </c>
      <c r="O76" s="121">
        <f>ROUND(15%*$O$87,0)</f>
        <v>2</v>
      </c>
      <c r="P76" s="43"/>
      <c r="Q76" s="42">
        <f>ROUND(0.5*R76,0)</f>
        <v>1</v>
      </c>
      <c r="R76" s="119">
        <f>ROUND(15%*$Q$87,0)</f>
        <v>2</v>
      </c>
      <c r="T76" s="152"/>
      <c r="U76" s="50"/>
      <c r="V76" s="50"/>
      <c r="X76" s="45"/>
      <c r="Y76" s="43"/>
      <c r="Z76" s="50"/>
      <c r="AC76" s="152"/>
      <c r="AD76" s="50"/>
      <c r="AE76" s="50"/>
      <c r="AG76" s="45"/>
      <c r="AH76" s="43"/>
      <c r="AI76" s="50"/>
      <c r="AL76" s="152"/>
      <c r="AM76" s="50"/>
      <c r="AN76" s="45"/>
      <c r="AO76" s="43"/>
      <c r="AP76" s="45"/>
      <c r="AQ76" s="43"/>
      <c r="AR76" s="45"/>
      <c r="AS76" s="43"/>
      <c r="AU76" s="152"/>
      <c r="AV76" s="50"/>
      <c r="AW76" s="45"/>
      <c r="AX76" s="43"/>
      <c r="AY76" s="45"/>
      <c r="AZ76" s="43"/>
      <c r="BA76" s="45"/>
      <c r="BB76" s="43"/>
      <c r="BD76" s="152"/>
    </row>
    <row r="77" spans="1:56" x14ac:dyDescent="0.45">
      <c r="A77" s="139"/>
      <c r="B77" s="35" t="s">
        <v>40</v>
      </c>
      <c r="C77" s="117">
        <f t="shared" si="13"/>
        <v>1</v>
      </c>
      <c r="D77" s="121">
        <f>ROUND(10%*$D$87,0)</f>
        <v>1</v>
      </c>
      <c r="E77" s="43"/>
      <c r="F77" s="42">
        <f>ROUND(0.5*G77,0)</f>
        <v>1</v>
      </c>
      <c r="G77" s="119">
        <f>ROUND(10%*$F$87,0)</f>
        <v>2</v>
      </c>
      <c r="H77" s="121">
        <f>ROUND(5%*$H$87,0)</f>
        <v>1</v>
      </c>
      <c r="I77" s="40"/>
      <c r="J77" s="56"/>
      <c r="K77" s="152"/>
      <c r="L77" s="59">
        <f>ROUND(5%*$M$8,0)</f>
        <v>1</v>
      </c>
      <c r="M77" s="121">
        <f>ROUND(5%*$M$87,0)</f>
        <v>1</v>
      </c>
      <c r="N77" s="43"/>
      <c r="O77" s="42">
        <f>ROUND(0.5*P77,0)</f>
        <v>1</v>
      </c>
      <c r="P77" s="119">
        <f>ROUND(15%*$O$87,0)</f>
        <v>2</v>
      </c>
      <c r="Q77" s="121">
        <f>ROUND(5%*$Q$87,0)</f>
        <v>1</v>
      </c>
      <c r="R77" s="43"/>
      <c r="T77" s="152"/>
      <c r="U77" s="59">
        <f>ROUND(15%*$M$9,0)</f>
        <v>2</v>
      </c>
      <c r="V77" s="59">
        <f>ROUND(30%*$V$87,0)</f>
        <v>1</v>
      </c>
      <c r="X77" s="42">
        <f>ROUND(0.5*Y77,0)</f>
        <v>1</v>
      </c>
      <c r="Y77" s="119">
        <f>ROUND(30%*$X$87,0)</f>
        <v>1</v>
      </c>
      <c r="Z77" s="59">
        <f>ROUND(30%*$Z$87,0)</f>
        <v>1</v>
      </c>
      <c r="AC77" s="152"/>
      <c r="AD77" s="59">
        <f>ROUND(10%*$M$10,0)</f>
        <v>1</v>
      </c>
      <c r="AE77" s="59">
        <f>ROUND(10%*$AE$87,0)</f>
        <v>1</v>
      </c>
      <c r="AG77" s="42">
        <f>ROUND(0.5*AH77,0)</f>
        <v>1</v>
      </c>
      <c r="AH77" s="119">
        <f>ROUND(15%*$AG$87,0)</f>
        <v>1</v>
      </c>
      <c r="AI77" s="59">
        <f>ROUND(10%*$AI$87,0)</f>
        <v>1</v>
      </c>
      <c r="AL77" s="152"/>
      <c r="AM77" s="50"/>
      <c r="AN77" s="45"/>
      <c r="AO77" s="43"/>
      <c r="AP77" s="45"/>
      <c r="AQ77" s="43"/>
      <c r="AR77" s="45"/>
      <c r="AS77" s="43"/>
      <c r="AU77" s="152"/>
      <c r="AV77" s="50"/>
      <c r="AW77" s="45"/>
      <c r="AX77" s="43"/>
      <c r="AY77" s="45"/>
      <c r="AZ77" s="43"/>
      <c r="BA77" s="45"/>
      <c r="BB77" s="43"/>
      <c r="BD77" s="152"/>
    </row>
    <row r="78" spans="1:56" x14ac:dyDescent="0.45">
      <c r="A78" s="14" t="s">
        <v>41</v>
      </c>
      <c r="B78" s="35" t="s">
        <v>42</v>
      </c>
      <c r="C78" s="117">
        <f t="shared" si="13"/>
        <v>1</v>
      </c>
      <c r="D78" s="121">
        <f>ROUND(10%*$D$87,0)</f>
        <v>1</v>
      </c>
      <c r="E78" s="43"/>
      <c r="F78" s="121">
        <f>ROUND(5%*$F$87,0)</f>
        <v>1</v>
      </c>
      <c r="G78" s="43"/>
      <c r="H78" s="121">
        <f>ROUND(5%*$H$87,0)</f>
        <v>1</v>
      </c>
      <c r="I78" s="40"/>
      <c r="J78" s="56"/>
      <c r="K78" s="152"/>
      <c r="L78" s="59">
        <f>ROUND(5%*$M$8,0)</f>
        <v>1</v>
      </c>
      <c r="M78" s="42">
        <f>ROUND(0.5*N78,0)</f>
        <v>1</v>
      </c>
      <c r="N78" s="119">
        <f>ROUND(15%*$M$87,0)</f>
        <v>2</v>
      </c>
      <c r="O78" s="121">
        <f>ROUND(15%*$O$87,0)</f>
        <v>2</v>
      </c>
      <c r="P78" s="43"/>
      <c r="Q78" s="42">
        <f>ROUND(0.5*R78,0)</f>
        <v>1</v>
      </c>
      <c r="R78" s="119">
        <f>ROUND(15%*$Q$87,0)</f>
        <v>2</v>
      </c>
      <c r="T78" s="152"/>
      <c r="U78" s="50"/>
      <c r="V78" s="50"/>
      <c r="X78" s="45"/>
      <c r="Y78" s="43"/>
      <c r="Z78" s="50"/>
      <c r="AC78" s="152"/>
      <c r="AD78" s="50"/>
      <c r="AE78" s="50"/>
      <c r="AG78" s="45"/>
      <c r="AH78" s="43"/>
      <c r="AI78" s="50"/>
      <c r="AL78" s="152"/>
      <c r="AM78" s="50"/>
      <c r="AN78" s="45"/>
      <c r="AO78" s="43"/>
      <c r="AP78" s="45"/>
      <c r="AQ78" s="43"/>
      <c r="AR78" s="45"/>
      <c r="AS78" s="43"/>
      <c r="AU78" s="152"/>
      <c r="AV78" s="50"/>
      <c r="AW78" s="45"/>
      <c r="AX78" s="43"/>
      <c r="AY78" s="45"/>
      <c r="AZ78" s="43"/>
      <c r="BA78" s="45"/>
      <c r="BB78" s="43"/>
      <c r="BD78" s="152"/>
    </row>
    <row r="79" spans="1:56" x14ac:dyDescent="0.45">
      <c r="A79" s="139" t="s">
        <v>45</v>
      </c>
      <c r="B79" s="35" t="s">
        <v>46</v>
      </c>
      <c r="C79" s="50"/>
      <c r="D79" s="45"/>
      <c r="E79" s="43"/>
      <c r="F79" s="45"/>
      <c r="G79" s="43"/>
      <c r="H79" s="49"/>
      <c r="I79" s="40"/>
      <c r="J79" s="56"/>
      <c r="K79" s="152"/>
      <c r="L79" s="50"/>
      <c r="M79" s="45"/>
      <c r="N79" s="43"/>
      <c r="O79" s="45"/>
      <c r="P79" s="43"/>
      <c r="Q79" s="45"/>
      <c r="R79" s="43"/>
      <c r="T79" s="152"/>
      <c r="U79" s="50"/>
      <c r="V79" s="50"/>
      <c r="X79" s="45"/>
      <c r="Y79" s="43"/>
      <c r="Z79" s="50"/>
      <c r="AC79" s="152"/>
      <c r="AD79" s="59">
        <f>ROUND(10%*$M$10,0)</f>
        <v>1</v>
      </c>
      <c r="AE79" s="59">
        <f>ROUND(20%*$AE$87,0)</f>
        <v>1</v>
      </c>
      <c r="AG79" s="121">
        <f>ROUND(10%*$AG$87,0)</f>
        <v>1</v>
      </c>
      <c r="AH79" s="43"/>
      <c r="AI79" s="59">
        <f>ROUND(10%*$AI$87,0)</f>
        <v>1</v>
      </c>
      <c r="AL79" s="152"/>
      <c r="AM79" s="59">
        <f>ROUND(20%*$M$11,0)</f>
        <v>5</v>
      </c>
      <c r="AN79" s="42">
        <f>ROUND(0.5*AO79,0)</f>
        <v>2</v>
      </c>
      <c r="AO79" s="119">
        <f>ROUND(20%*$AN$87,0)</f>
        <v>3</v>
      </c>
      <c r="AP79" s="121">
        <f>ROUND(10%*$AP$87,0)</f>
        <v>1</v>
      </c>
      <c r="AQ79" s="43"/>
      <c r="AR79" s="42">
        <f>ROUND(0.5*AS79,0)</f>
        <v>2</v>
      </c>
      <c r="AS79" s="119">
        <f>ROUND(20%*$AR$87,0)</f>
        <v>3</v>
      </c>
      <c r="AU79" s="152"/>
      <c r="AV79" s="59">
        <f>ROUND(20%*$M$12,0)</f>
        <v>4</v>
      </c>
      <c r="AW79" s="42">
        <f>ROUND(0.5*AX79,0)</f>
        <v>3</v>
      </c>
      <c r="AX79" s="119">
        <f>ROUND(35%*$AW$87,0)</f>
        <v>5</v>
      </c>
      <c r="AY79" s="121">
        <f>ROUND(20%*$AY$87,0)</f>
        <v>2</v>
      </c>
      <c r="AZ79" s="43"/>
      <c r="BA79" s="42">
        <f>ROUND(0.5*BB79,0)</f>
        <v>3</v>
      </c>
      <c r="BB79" s="119">
        <f>ROUND(40%*$BA$87,0)</f>
        <v>6</v>
      </c>
      <c r="BD79" s="152"/>
    </row>
    <row r="80" spans="1:56" x14ac:dyDescent="0.45">
      <c r="A80" s="139"/>
      <c r="B80" s="35" t="s">
        <v>48</v>
      </c>
      <c r="C80" s="50"/>
      <c r="D80" s="45"/>
      <c r="E80" s="43"/>
      <c r="F80" s="45"/>
      <c r="G80" s="43"/>
      <c r="H80" s="49"/>
      <c r="I80" s="40"/>
      <c r="J80" s="56"/>
      <c r="K80" s="152"/>
      <c r="L80" s="59">
        <f>ROUND(15%*$M$8,0)</f>
        <v>3</v>
      </c>
      <c r="M80" s="121">
        <f>ROUND(10%*$M$87,0)</f>
        <v>2</v>
      </c>
      <c r="N80" s="43"/>
      <c r="O80" s="45"/>
      <c r="P80" s="43"/>
      <c r="Q80" s="121">
        <f>ROUND(15%*$Q$87,0)</f>
        <v>2</v>
      </c>
      <c r="R80" s="43"/>
      <c r="T80" s="152"/>
      <c r="U80" s="50"/>
      <c r="V80" s="50"/>
      <c r="X80" s="45"/>
      <c r="Y80" s="43"/>
      <c r="Z80" s="50"/>
      <c r="AC80" s="152"/>
      <c r="AD80" s="59">
        <f>ROUND(15%*$M$10,0)</f>
        <v>2</v>
      </c>
      <c r="AE80" s="59">
        <f>ROUND(15%*$AE$87,0)</f>
        <v>1</v>
      </c>
      <c r="AG80" s="121">
        <f>ROUND(15%*$AG$87,0)</f>
        <v>1</v>
      </c>
      <c r="AH80" s="43"/>
      <c r="AI80" s="59">
        <f>ROUND(20%*$AI$87,0)</f>
        <v>1</v>
      </c>
      <c r="AL80" s="152"/>
      <c r="AM80" s="59">
        <f>ROUND(30%*$M$11,0)</f>
        <v>8</v>
      </c>
      <c r="AN80" s="42">
        <f>ROUND(0.5*AO80,0)</f>
        <v>2</v>
      </c>
      <c r="AO80" s="119">
        <f>ROUND(25%*$AN$87,0)</f>
        <v>4</v>
      </c>
      <c r="AP80" s="42">
        <f>ROUND(0.5*AQ80,0)</f>
        <v>2</v>
      </c>
      <c r="AQ80" s="119">
        <f>ROUND(30%*$AP$87,0)</f>
        <v>4</v>
      </c>
      <c r="AR80" s="42">
        <f>ROUND(0.5*AS80,0)</f>
        <v>2</v>
      </c>
      <c r="AS80" s="119">
        <f>ROUND(25%*$AR$87,0)</f>
        <v>4</v>
      </c>
      <c r="AU80" s="152"/>
      <c r="AV80" s="50"/>
      <c r="AW80" s="45"/>
      <c r="AX80" s="43"/>
      <c r="AY80" s="45"/>
      <c r="AZ80" s="43"/>
      <c r="BA80" s="45"/>
      <c r="BB80" s="43"/>
      <c r="BD80" s="152"/>
    </row>
    <row r="81" spans="1:56" x14ac:dyDescent="0.45">
      <c r="A81" s="139"/>
      <c r="B81" s="35" t="s">
        <v>49</v>
      </c>
      <c r="C81" s="50"/>
      <c r="D81" s="45"/>
      <c r="E81" s="43"/>
      <c r="F81" s="45"/>
      <c r="G81" s="43"/>
      <c r="H81" s="49"/>
      <c r="I81" s="40"/>
      <c r="J81" s="56"/>
      <c r="K81" s="152"/>
      <c r="L81" s="59">
        <f>ROUND(15%*$M$8,0)</f>
        <v>3</v>
      </c>
      <c r="M81" s="121">
        <f>ROUND(10%*$M$87,0)</f>
        <v>2</v>
      </c>
      <c r="N81" s="43"/>
      <c r="O81" s="45"/>
      <c r="P81" s="43"/>
      <c r="Q81" s="121">
        <f>ROUND(15%*$Q$87,0)</f>
        <v>2</v>
      </c>
      <c r="R81" s="43"/>
      <c r="T81" s="152"/>
      <c r="U81" s="50"/>
      <c r="V81" s="50"/>
      <c r="X81" s="45"/>
      <c r="Y81" s="43"/>
      <c r="Z81" s="50"/>
      <c r="AC81" s="152"/>
      <c r="AD81" s="59">
        <f>ROUND(15%*$M$10,0)</f>
        <v>2</v>
      </c>
      <c r="AE81" s="59">
        <f>ROUND(15%*$AE$87,0)</f>
        <v>1</v>
      </c>
      <c r="AG81" s="121">
        <f>ROUND(20%*$AG$87,0)</f>
        <v>1</v>
      </c>
      <c r="AH81" s="43"/>
      <c r="AI81" s="59">
        <f>ROUND(20%*$AI$87,0)</f>
        <v>1</v>
      </c>
      <c r="AL81" s="152"/>
      <c r="AM81" s="59">
        <f>ROUND(30%*$M$11,0)</f>
        <v>8</v>
      </c>
      <c r="AN81" s="42">
        <f>ROUND(0.5*AO81,0)</f>
        <v>2</v>
      </c>
      <c r="AO81" s="119">
        <f>ROUND(25%*$AN$87,0)</f>
        <v>4</v>
      </c>
      <c r="AP81" s="42">
        <f>ROUND(0.5*AQ81,0)</f>
        <v>2</v>
      </c>
      <c r="AQ81" s="119">
        <f>ROUND(30%*$AP$87,0)</f>
        <v>4</v>
      </c>
      <c r="AR81" s="42">
        <f>ROUND(0.5*AS81,0)</f>
        <v>2</v>
      </c>
      <c r="AS81" s="119">
        <f>ROUND(25%*$AR$87,0)</f>
        <v>4</v>
      </c>
      <c r="AU81" s="152"/>
      <c r="AV81" s="50"/>
      <c r="AW81" s="45"/>
      <c r="AX81" s="43"/>
      <c r="AY81" s="45"/>
      <c r="AZ81" s="43"/>
      <c r="BA81" s="45"/>
      <c r="BB81" s="43"/>
      <c r="BD81" s="152"/>
    </row>
    <row r="82" spans="1:56" x14ac:dyDescent="0.45">
      <c r="A82" s="139"/>
      <c r="B82" s="35" t="s">
        <v>50</v>
      </c>
      <c r="C82" s="50"/>
      <c r="D82" s="45"/>
      <c r="E82" s="43"/>
      <c r="F82" s="45"/>
      <c r="G82" s="43"/>
      <c r="H82" s="49"/>
      <c r="I82" s="40"/>
      <c r="J82" s="56"/>
      <c r="K82" s="152"/>
      <c r="L82" s="59">
        <f>ROUND(15%*$M$8,0)</f>
        <v>3</v>
      </c>
      <c r="M82" s="121">
        <f>ROUND(10%*$M$87,0)</f>
        <v>2</v>
      </c>
      <c r="N82" s="43"/>
      <c r="O82" s="45"/>
      <c r="P82" s="43"/>
      <c r="Q82" s="121">
        <f>ROUND(15%*$Q$87,0)</f>
        <v>2</v>
      </c>
      <c r="R82" s="43"/>
      <c r="T82" s="152"/>
      <c r="U82" s="50"/>
      <c r="V82" s="50"/>
      <c r="X82" s="45"/>
      <c r="Y82" s="43"/>
      <c r="Z82" s="50"/>
      <c r="AC82" s="152"/>
      <c r="AD82" s="59">
        <f>ROUND(20%*$M$10,0)</f>
        <v>2</v>
      </c>
      <c r="AE82" s="59">
        <f>ROUND(20%*$AE$87,0)</f>
        <v>1</v>
      </c>
      <c r="AG82" s="121">
        <f>ROUND(20%*$AG$87,0)</f>
        <v>1</v>
      </c>
      <c r="AH82" s="43"/>
      <c r="AI82" s="59">
        <f>ROUND(20%*$AI$87,0)</f>
        <v>1</v>
      </c>
      <c r="AL82" s="152"/>
      <c r="AM82" s="50"/>
      <c r="AN82" s="45"/>
      <c r="AO82" s="43"/>
      <c r="AP82" s="45"/>
      <c r="AQ82" s="43"/>
      <c r="AR82" s="45"/>
      <c r="AS82" s="43"/>
      <c r="AU82" s="152"/>
      <c r="AV82" s="59">
        <f>ROUND(30%*$M$12,0)</f>
        <v>6</v>
      </c>
      <c r="AW82" s="42">
        <f>ROUND(0.5*AX82,0)</f>
        <v>3</v>
      </c>
      <c r="AX82" s="119">
        <f>ROUND(35%*$AW$87,0)</f>
        <v>5</v>
      </c>
      <c r="AY82" s="42">
        <f>ROUND(0.5*AZ82,0)</f>
        <v>3</v>
      </c>
      <c r="AZ82" s="119">
        <f>ROUND(40%*$AY$87,0)</f>
        <v>5</v>
      </c>
      <c r="BA82" s="42">
        <f>ROUND(0.5*BB82,0)</f>
        <v>3</v>
      </c>
      <c r="BB82" s="119">
        <f>ROUND(40%*$BA$87,0)</f>
        <v>6</v>
      </c>
      <c r="BD82" s="152"/>
    </row>
    <row r="83" spans="1:56" x14ac:dyDescent="0.45">
      <c r="A83" s="139" t="s">
        <v>51</v>
      </c>
      <c r="B83" s="35" t="s">
        <v>52</v>
      </c>
      <c r="C83" s="117">
        <f>ROUNDUP(5%*$M$7,0)</f>
        <v>1</v>
      </c>
      <c r="D83" s="121">
        <f>ROUND(10%*$D$87,0)</f>
        <v>1</v>
      </c>
      <c r="E83" s="43"/>
      <c r="F83" s="121">
        <f>ROUND(10%*$F$87,0)</f>
        <v>2</v>
      </c>
      <c r="G83" s="43"/>
      <c r="H83" s="121">
        <f>ROUND(10%*$H$87,0)</f>
        <v>1</v>
      </c>
      <c r="I83" s="40"/>
      <c r="J83" s="56"/>
      <c r="K83" s="152"/>
      <c r="L83" s="59">
        <f>ROUND(20%*$M$8,0)</f>
        <v>4</v>
      </c>
      <c r="M83" s="121">
        <f>ROUND(15%*$M$87,0)</f>
        <v>2</v>
      </c>
      <c r="N83" s="43"/>
      <c r="O83" s="121">
        <f>ROUND(20%*$O$87,0)</f>
        <v>2</v>
      </c>
      <c r="P83" s="43"/>
      <c r="Q83" s="121">
        <f>ROUND(15%*$Q$87,0)</f>
        <v>2</v>
      </c>
      <c r="R83" s="43"/>
      <c r="T83" s="152"/>
      <c r="U83" s="59">
        <f>ROUND(35%*$M$9,0)</f>
        <v>4</v>
      </c>
      <c r="V83" s="59">
        <f>ROUND(40%*$V$87,0)</f>
        <v>1</v>
      </c>
      <c r="X83" s="121">
        <f>ROUND(40%*$X$87,0)</f>
        <v>2</v>
      </c>
      <c r="Y83" s="43"/>
      <c r="Z83" s="59">
        <f>ROUND(40%*$Z$87,0)</f>
        <v>1</v>
      </c>
      <c r="AC83" s="152"/>
      <c r="AD83" s="59">
        <f>ROUND(20%*$M$10,0)</f>
        <v>2</v>
      </c>
      <c r="AE83" s="59">
        <f>ROUND(20%*$AE$87,0)</f>
        <v>1</v>
      </c>
      <c r="AG83" s="121">
        <f>ROUND(20%*$AG$87,0)</f>
        <v>1</v>
      </c>
      <c r="AH83" s="43"/>
      <c r="AI83" s="59">
        <f>ROUND(20%*$AI$87,0)</f>
        <v>1</v>
      </c>
      <c r="AL83" s="152"/>
      <c r="AM83" s="59">
        <f>ROUND(10%*$M$11,0)</f>
        <v>3</v>
      </c>
      <c r="AN83" s="121">
        <f>ROUND(30%*$AN$87,0)</f>
        <v>5</v>
      </c>
      <c r="AO83" s="43"/>
      <c r="AP83" s="121">
        <f>ROUND(30%*$AP$87,0)</f>
        <v>4</v>
      </c>
      <c r="AQ83" s="43"/>
      <c r="AR83" s="121">
        <f>ROUND(30%*$AR$87,0)</f>
        <v>5</v>
      </c>
      <c r="AS83" s="43"/>
      <c r="AU83" s="152"/>
      <c r="AV83" s="59">
        <f>ROUND(30%*$M$12,0)</f>
        <v>6</v>
      </c>
      <c r="AW83" s="121">
        <f>ROUND(30%*$AW$87,0)</f>
        <v>5</v>
      </c>
      <c r="AX83" s="43"/>
      <c r="AY83" s="121">
        <f>ROUND(40%*$AY$87,0)</f>
        <v>5</v>
      </c>
      <c r="AZ83" s="43"/>
      <c r="BA83" s="121">
        <f>ROUND(20%*$BA$87,0)</f>
        <v>3</v>
      </c>
      <c r="BB83" s="43"/>
      <c r="BD83" s="152"/>
    </row>
    <row r="84" spans="1:56" ht="14.65" thickBot="1" x14ac:dyDescent="0.5">
      <c r="A84" s="140"/>
      <c r="B84" s="54" t="s">
        <v>53</v>
      </c>
      <c r="C84" s="118">
        <f>ROUNDUP(5%*$M$7,0)</f>
        <v>1</v>
      </c>
      <c r="D84" s="122">
        <f>ROUND(10%*$D$87,0)</f>
        <v>1</v>
      </c>
      <c r="E84" s="48"/>
      <c r="F84" s="121">
        <f>ROUND(10%*$F$87,0)</f>
        <v>2</v>
      </c>
      <c r="G84" s="48"/>
      <c r="H84" s="51"/>
      <c r="I84" s="47"/>
      <c r="J84" s="57"/>
      <c r="K84" s="153"/>
      <c r="L84" s="59">
        <f>ROUND(15%*$M$8,0)</f>
        <v>3</v>
      </c>
      <c r="M84" s="121">
        <f>ROUND(15%*$M$87,0)</f>
        <v>2</v>
      </c>
      <c r="N84" s="48"/>
      <c r="O84" s="121">
        <f>ROUND(20%*$O$87,0)</f>
        <v>2</v>
      </c>
      <c r="P84" s="48"/>
      <c r="Q84" s="61"/>
      <c r="R84" s="48"/>
      <c r="T84" s="153"/>
      <c r="U84" s="59">
        <f>ROUND(35%*$M$9,0)</f>
        <v>4</v>
      </c>
      <c r="V84" s="61"/>
      <c r="X84" s="61"/>
      <c r="Y84" s="48"/>
      <c r="Z84" s="62"/>
      <c r="AC84" s="153"/>
      <c r="AD84" s="59">
        <f>ROUND(10%*$M$10,0)</f>
        <v>1</v>
      </c>
      <c r="AE84" s="61"/>
      <c r="AG84" s="61"/>
      <c r="AH84" s="48"/>
      <c r="AI84" s="62"/>
      <c r="AL84" s="153"/>
      <c r="AM84" s="59">
        <f>ROUND(10%*$M$11,0)</f>
        <v>3</v>
      </c>
      <c r="AN84" s="61"/>
      <c r="AO84" s="48"/>
      <c r="AP84" s="61"/>
      <c r="AQ84" s="48"/>
      <c r="AR84" s="61"/>
      <c r="AS84" s="48"/>
      <c r="AU84" s="153"/>
      <c r="AV84" s="59">
        <f>ROUND(20%*$M$12,0)</f>
        <v>4</v>
      </c>
      <c r="AW84" s="61"/>
      <c r="AX84" s="48"/>
      <c r="AY84" s="61"/>
      <c r="AZ84" s="48"/>
      <c r="BA84" s="61"/>
      <c r="BB84" s="48"/>
      <c r="BD84" s="153"/>
    </row>
    <row r="85" spans="1:56" x14ac:dyDescent="0.45">
      <c r="B85" s="116" t="s">
        <v>69</v>
      </c>
      <c r="C85" s="38">
        <f>SUM(C70:C84)</f>
        <v>11</v>
      </c>
      <c r="D85" s="149">
        <v>16</v>
      </c>
      <c r="E85" s="149"/>
      <c r="F85" s="149">
        <v>18</v>
      </c>
      <c r="G85" s="149"/>
      <c r="H85" s="149">
        <v>17</v>
      </c>
      <c r="I85" s="149"/>
      <c r="J85" s="170"/>
      <c r="K85" s="1">
        <f>D85+F85+H85</f>
        <v>51</v>
      </c>
      <c r="L85" s="38">
        <f>SUM(L70:L84)</f>
        <v>20</v>
      </c>
      <c r="M85" s="149">
        <v>11</v>
      </c>
      <c r="N85" s="149"/>
      <c r="O85" s="149">
        <v>8</v>
      </c>
      <c r="P85" s="149"/>
      <c r="Q85" s="149">
        <v>10</v>
      </c>
      <c r="R85" s="149"/>
      <c r="T85" s="1">
        <f>M85+O85+Q85</f>
        <v>29</v>
      </c>
      <c r="U85" s="38">
        <f>SUM(U70:U84)</f>
        <v>12</v>
      </c>
      <c r="V85" s="1">
        <v>3</v>
      </c>
      <c r="X85" s="149">
        <v>5</v>
      </c>
      <c r="Y85" s="149"/>
      <c r="Z85" s="1">
        <v>3</v>
      </c>
      <c r="AC85" s="1">
        <f>SUM(V85:Z85)</f>
        <v>11</v>
      </c>
      <c r="AD85" s="38">
        <f>SUM(AD70:AD84)</f>
        <v>11</v>
      </c>
      <c r="AE85" s="1">
        <v>6</v>
      </c>
      <c r="AG85" s="149">
        <v>7</v>
      </c>
      <c r="AH85" s="149"/>
      <c r="AI85" s="1">
        <v>6</v>
      </c>
      <c r="AL85" s="1">
        <f>SUM(AE85:AI85)</f>
        <v>19</v>
      </c>
      <c r="AM85" s="38">
        <f>SUM(AM70:AM84)</f>
        <v>27</v>
      </c>
      <c r="AN85" s="149">
        <v>7</v>
      </c>
      <c r="AO85" s="149"/>
      <c r="AP85" s="149">
        <v>6</v>
      </c>
      <c r="AQ85" s="149"/>
      <c r="AR85" s="149">
        <v>7</v>
      </c>
      <c r="AS85" s="149"/>
      <c r="AU85" s="1">
        <f>AN85+AP85+AR85</f>
        <v>20</v>
      </c>
      <c r="AV85" s="38">
        <f>SUM(AV70:AV84)</f>
        <v>20</v>
      </c>
      <c r="AW85" s="149">
        <v>5</v>
      </c>
      <c r="AX85" s="149"/>
      <c r="AY85" s="149">
        <v>4</v>
      </c>
      <c r="AZ85" s="149"/>
      <c r="BA85" s="149">
        <v>5</v>
      </c>
      <c r="BB85" s="149"/>
      <c r="BD85" s="1">
        <f>AW85+AY85+BA85</f>
        <v>14</v>
      </c>
    </row>
    <row r="86" spans="1:56" x14ac:dyDescent="0.45">
      <c r="B86" s="116" t="s">
        <v>70</v>
      </c>
      <c r="C86" s="38"/>
      <c r="D86" s="150">
        <f>D85/K85</f>
        <v>0.31372549019607843</v>
      </c>
      <c r="E86" s="150"/>
      <c r="F86" s="150">
        <f>F85/K85</f>
        <v>0.35294117647058826</v>
      </c>
      <c r="G86" s="150"/>
      <c r="H86" s="150">
        <f>H85/K85</f>
        <v>0.33333333333333331</v>
      </c>
      <c r="I86" s="150"/>
      <c r="J86" s="171"/>
      <c r="K86" s="1"/>
      <c r="L86" s="38"/>
      <c r="M86" s="150">
        <f>M85/$T$85</f>
        <v>0.37931034482758619</v>
      </c>
      <c r="N86" s="150"/>
      <c r="O86" s="150">
        <f>O85/$T$85</f>
        <v>0.27586206896551724</v>
      </c>
      <c r="P86" s="150"/>
      <c r="Q86" s="150">
        <f>Q85/$T$85</f>
        <v>0.34482758620689657</v>
      </c>
      <c r="R86" s="150"/>
      <c r="T86" s="1"/>
      <c r="U86" s="38"/>
      <c r="V86" s="7">
        <f>V85/AC85</f>
        <v>0.27272727272727271</v>
      </c>
      <c r="X86" s="150">
        <f>X85/AC85</f>
        <v>0.45454545454545453</v>
      </c>
      <c r="Y86" s="150"/>
      <c r="Z86" s="7">
        <f>Z85/AC85</f>
        <v>0.27272727272727271</v>
      </c>
      <c r="AC86" s="1"/>
      <c r="AD86" s="38"/>
      <c r="AE86" s="7">
        <f>AE85/AL85</f>
        <v>0.31578947368421051</v>
      </c>
      <c r="AG86" s="150">
        <f>AG85/AL85</f>
        <v>0.36842105263157893</v>
      </c>
      <c r="AH86" s="150"/>
      <c r="AI86" s="7">
        <f>AI85/AL85</f>
        <v>0.31578947368421051</v>
      </c>
      <c r="AL86" s="1"/>
      <c r="AM86" s="38"/>
      <c r="AN86" s="150">
        <f>AN85/$AU$85</f>
        <v>0.35</v>
      </c>
      <c r="AO86" s="150"/>
      <c r="AP86" s="150">
        <f>AP85/$AU$85</f>
        <v>0.3</v>
      </c>
      <c r="AQ86" s="150"/>
      <c r="AR86" s="150">
        <f>AR85/$AU$85</f>
        <v>0.35</v>
      </c>
      <c r="AS86" s="150"/>
      <c r="AU86" s="1"/>
      <c r="AV86" s="38"/>
      <c r="AW86" s="150">
        <f>AW85/$BD$85</f>
        <v>0.35714285714285715</v>
      </c>
      <c r="AX86" s="150"/>
      <c r="AY86" s="150">
        <f>AY85/$BD$85</f>
        <v>0.2857142857142857</v>
      </c>
      <c r="AZ86" s="150"/>
      <c r="BA86" s="150">
        <f>BA85/$BD$85</f>
        <v>0.35714285714285715</v>
      </c>
      <c r="BB86" s="150"/>
      <c r="BD86" s="1"/>
    </row>
    <row r="87" spans="1:56" x14ac:dyDescent="0.45">
      <c r="B87" s="116" t="s">
        <v>71</v>
      </c>
      <c r="C87" s="38"/>
      <c r="D87" s="149">
        <f>ROUND(D86*($O$7-C85),0)</f>
        <v>13</v>
      </c>
      <c r="E87" s="149"/>
      <c r="F87" s="149">
        <f>ROUND(F86*($O$7-SUM($C$70:$C$84)),0)</f>
        <v>15</v>
      </c>
      <c r="G87" s="149"/>
      <c r="H87" s="149">
        <f>ROUND(H86*($O$7-SUM($C$70:$C$84)),0)</f>
        <v>14</v>
      </c>
      <c r="I87" s="149"/>
      <c r="J87" s="170"/>
      <c r="K87" s="1">
        <f>D87+F87+H87</f>
        <v>42</v>
      </c>
      <c r="L87" s="38"/>
      <c r="M87" s="149">
        <f>ROUND(M86*($O$8-SUM($L$70:$L$84)),0)</f>
        <v>16</v>
      </c>
      <c r="N87" s="149"/>
      <c r="O87" s="149">
        <f>ROUND(O86*($O$8-SUM($L$70:$L$84)),0)</f>
        <v>12</v>
      </c>
      <c r="P87" s="149"/>
      <c r="Q87" s="149">
        <f>ROUND(Q86*($O$8-SUM($L$70:$L$84)),0)</f>
        <v>14</v>
      </c>
      <c r="R87" s="149"/>
      <c r="T87" s="1">
        <f>M87+O87+Q87</f>
        <v>42</v>
      </c>
      <c r="U87" s="38"/>
      <c r="V87" s="1">
        <f>ROUND(V86*($O$9-SUM($U$70:$U$84)),0)</f>
        <v>2</v>
      </c>
      <c r="X87" s="149">
        <f>ROUND(X86*($O$9-SUM($U$70:$U$84)),0)</f>
        <v>4</v>
      </c>
      <c r="Y87" s="149"/>
      <c r="Z87" s="1">
        <f>ROUND(Z86*($O$9-SUM($U$70:$U$84)),0)</f>
        <v>2</v>
      </c>
      <c r="AC87" s="1">
        <f>SUM(V87:Z87)</f>
        <v>8</v>
      </c>
      <c r="AD87" s="38"/>
      <c r="AE87" s="1">
        <f>ROUND(AE86*($O$10-SUM($AD$70:$AD$84)),0)</f>
        <v>5</v>
      </c>
      <c r="AG87" s="149">
        <f>ROUND(AG86*($O$10-SUM($AD$70:$AD$84)),0)</f>
        <v>6</v>
      </c>
      <c r="AH87" s="149"/>
      <c r="AI87" s="1">
        <f>ROUND(AI86*($O$10-SUM($AD$70:$AD$84)),0)</f>
        <v>5</v>
      </c>
      <c r="AL87" s="1">
        <f>SUM(AE87:AI87)</f>
        <v>16</v>
      </c>
      <c r="AM87" s="38"/>
      <c r="AN87" s="149">
        <f>ROUND(AN86*($O$11-SUM($AM$70:$AM$84)),0)</f>
        <v>17</v>
      </c>
      <c r="AO87" s="149"/>
      <c r="AP87" s="149">
        <f>ROUND(AP86*($O$11-SUM($AM$70:$AM$84)),0)</f>
        <v>14</v>
      </c>
      <c r="AQ87" s="149"/>
      <c r="AR87" s="149">
        <f>ROUND(AR86*($O$11-SUM($AM$70:$AM$84)),0)</f>
        <v>17</v>
      </c>
      <c r="AS87" s="149"/>
      <c r="AU87" s="1">
        <f>AN87+AP87+AR87</f>
        <v>48</v>
      </c>
      <c r="AV87" s="38"/>
      <c r="AW87" s="149">
        <f>ROUND(AW86*($O$12-SUM($AV$70:$AV$84)),0)</f>
        <v>15</v>
      </c>
      <c r="AX87" s="149"/>
      <c r="AY87" s="149">
        <f>ROUND(AY86*($O$12-SUM($AV$70:$AV$84)),0)</f>
        <v>12</v>
      </c>
      <c r="AZ87" s="149"/>
      <c r="BA87" s="149">
        <f>ROUND(BA86*($O$12-SUM($AV$70:$AV$84)),0)</f>
        <v>15</v>
      </c>
      <c r="BB87" s="149"/>
      <c r="BD87" s="1">
        <f>AW87+AY87+BA87</f>
        <v>42</v>
      </c>
    </row>
    <row r="88" spans="1:56" x14ac:dyDescent="0.45">
      <c r="B88" s="116" t="s">
        <v>72</v>
      </c>
      <c r="C88" s="38"/>
      <c r="D88" s="149">
        <f>SUM(E70:E74)+SUM(D75:D84)</f>
        <v>11</v>
      </c>
      <c r="E88" s="149"/>
      <c r="F88" s="149">
        <f>SUM(G70:G84)+F76+F78+F83+F84</f>
        <v>20</v>
      </c>
      <c r="G88" s="149"/>
      <c r="H88" s="149">
        <f>SUM(H75:H84)+I70+I71+I72+J73+J74</f>
        <v>14</v>
      </c>
      <c r="I88" s="149"/>
      <c r="J88" s="170"/>
      <c r="K88" s="1">
        <f>D88+F88+H88</f>
        <v>45</v>
      </c>
      <c r="L88" s="38"/>
      <c r="M88" s="149">
        <f>SUM(M80:M84)+M77+M75+N76+N78</f>
        <v>16</v>
      </c>
      <c r="N88" s="149"/>
      <c r="O88" s="149">
        <f>SUM(O78:O84)+O76+P75+P77</f>
        <v>12</v>
      </c>
      <c r="P88" s="149"/>
      <c r="Q88" s="149">
        <f>SUM(Q80:Q84)+R78+R76+Q75+Q77</f>
        <v>14</v>
      </c>
      <c r="R88" s="149"/>
      <c r="T88" s="1">
        <f>M88+O88+Q88</f>
        <v>42</v>
      </c>
      <c r="U88" s="38"/>
      <c r="V88" s="1">
        <f>SUM(V70:V84)</f>
        <v>3</v>
      </c>
      <c r="X88" s="149">
        <f>SUM(Y70:Y84)+X83</f>
        <v>4</v>
      </c>
      <c r="Y88" s="149"/>
      <c r="Z88" s="1">
        <f>SUM(Z70:Z84)</f>
        <v>3</v>
      </c>
      <c r="AC88" s="1">
        <f>SUM(V88:Z88)</f>
        <v>10</v>
      </c>
      <c r="AD88" s="38"/>
      <c r="AE88" s="1">
        <f>SUM(AE70:AE84)</f>
        <v>6</v>
      </c>
      <c r="AG88" s="149">
        <f>SUM(AG70:AH84)-AG77</f>
        <v>6</v>
      </c>
      <c r="AH88" s="149"/>
      <c r="AI88" s="1">
        <f>SUM(AI70:AI84)</f>
        <v>6</v>
      </c>
      <c r="AL88" s="1">
        <f>SUM(AE88:AI88)</f>
        <v>18</v>
      </c>
      <c r="AM88" s="38"/>
      <c r="AN88" s="149">
        <f>SUM(AO70:AO84)+AN83</f>
        <v>16</v>
      </c>
      <c r="AO88" s="149"/>
      <c r="AP88" s="149">
        <f>SUM(AQ70:AQ84)+AP79+AP83</f>
        <v>13</v>
      </c>
      <c r="AQ88" s="149"/>
      <c r="AR88" s="149">
        <f>SUM(AS70:AS84)+AR83</f>
        <v>16</v>
      </c>
      <c r="AS88" s="149"/>
      <c r="AU88" s="1">
        <f>AN88+AP88+AR88</f>
        <v>45</v>
      </c>
      <c r="AV88" s="38"/>
      <c r="AW88" s="149">
        <f>AX79+AX82+AW83</f>
        <v>15</v>
      </c>
      <c r="AX88" s="149"/>
      <c r="AY88" s="149">
        <f>AY79+AZ82+AY83</f>
        <v>12</v>
      </c>
      <c r="AZ88" s="149"/>
      <c r="BA88" s="149">
        <f>BB79+BB82+BA83</f>
        <v>15</v>
      </c>
      <c r="BB88" s="149"/>
      <c r="BD88" s="1">
        <f>AW88+AY88+BA88</f>
        <v>42</v>
      </c>
    </row>
    <row r="91" spans="1:56" x14ac:dyDescent="0.45">
      <c r="A91" t="s">
        <v>73</v>
      </c>
    </row>
    <row r="93" spans="1:56" x14ac:dyDescent="0.45">
      <c r="A93" t="s">
        <v>74</v>
      </c>
    </row>
    <row r="94" spans="1:56" ht="14.65" thickBot="1" x14ac:dyDescent="0.5">
      <c r="C94" s="175" t="s">
        <v>25</v>
      </c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</row>
    <row r="95" spans="1:56" x14ac:dyDescent="0.45">
      <c r="A95" s="9" t="s">
        <v>3</v>
      </c>
      <c r="B95" s="89" t="s">
        <v>4</v>
      </c>
      <c r="C95" s="190" t="s">
        <v>62</v>
      </c>
      <c r="D95" s="191"/>
      <c r="E95" s="191" t="s">
        <v>75</v>
      </c>
      <c r="F95" s="191"/>
      <c r="G95" s="143" t="s">
        <v>76</v>
      </c>
      <c r="H95" s="144"/>
      <c r="I95" s="192" t="s">
        <v>77</v>
      </c>
      <c r="J95" s="190"/>
      <c r="K95" s="192" t="s">
        <v>78</v>
      </c>
      <c r="L95" s="190"/>
      <c r="M95" s="192" t="s">
        <v>79</v>
      </c>
      <c r="N95" s="190"/>
      <c r="O95" s="192" t="s">
        <v>80</v>
      </c>
      <c r="P95" s="190"/>
      <c r="Q95" s="193" t="s">
        <v>81</v>
      </c>
      <c r="R95" s="190"/>
      <c r="T95" s="137" t="s">
        <v>77</v>
      </c>
      <c r="U95" s="137" t="s">
        <v>78</v>
      </c>
    </row>
    <row r="96" spans="1:56" x14ac:dyDescent="0.45">
      <c r="A96" s="64"/>
      <c r="B96" s="90"/>
      <c r="C96" s="133" t="s">
        <v>82</v>
      </c>
      <c r="D96" s="132" t="s">
        <v>83</v>
      </c>
      <c r="E96" s="133" t="s">
        <v>82</v>
      </c>
      <c r="F96" s="132" t="s">
        <v>83</v>
      </c>
      <c r="G96" s="133" t="s">
        <v>82</v>
      </c>
      <c r="H96" s="132" t="s">
        <v>83</v>
      </c>
      <c r="I96" s="133" t="s">
        <v>82</v>
      </c>
      <c r="J96" s="132" t="s">
        <v>83</v>
      </c>
      <c r="K96" s="133" t="s">
        <v>82</v>
      </c>
      <c r="L96" s="132" t="s">
        <v>83</v>
      </c>
      <c r="M96" s="133" t="s">
        <v>82</v>
      </c>
      <c r="N96" s="132" t="s">
        <v>83</v>
      </c>
      <c r="O96" s="133" t="s">
        <v>82</v>
      </c>
      <c r="P96" s="132" t="s">
        <v>83</v>
      </c>
      <c r="Q96" s="133" t="s">
        <v>82</v>
      </c>
      <c r="R96" s="132" t="s">
        <v>83</v>
      </c>
      <c r="T96" s="138"/>
      <c r="U96" s="138"/>
      <c r="W96" s="98"/>
      <c r="Z96" s="98"/>
      <c r="AA96" s="98"/>
      <c r="AI96" s="98"/>
      <c r="AJ96" s="98"/>
      <c r="AK96" s="98"/>
      <c r="AL96" s="98"/>
      <c r="AM96" s="98"/>
    </row>
    <row r="97" spans="1:39" x14ac:dyDescent="0.45">
      <c r="A97" s="139" t="s">
        <v>10</v>
      </c>
      <c r="B97" s="91" t="s">
        <v>11</v>
      </c>
      <c r="C97" s="86">
        <f t="shared" ref="C97:C105" si="16">ROUND(C70/2,0)</f>
        <v>1</v>
      </c>
      <c r="D97" s="67">
        <f t="shared" ref="D97:D105" si="17">C70-C97</f>
        <v>0</v>
      </c>
      <c r="E97" s="66">
        <f t="shared" ref="E97:E105" si="18">ROUND(D70/2,0)</f>
        <v>1</v>
      </c>
      <c r="F97" s="67">
        <f t="shared" ref="F97:F105" si="19">D70-E97</f>
        <v>0</v>
      </c>
      <c r="G97" s="72">
        <f>ROUND(E70/2,0)</f>
        <v>1</v>
      </c>
      <c r="H97" s="67">
        <f>E70-G97</f>
        <v>0</v>
      </c>
      <c r="I97" s="42">
        <f t="shared" ref="I97:I105" si="20">ROUND(F70/2,0)</f>
        <v>1</v>
      </c>
      <c r="J97" s="74">
        <f t="shared" ref="J97:J105" si="21">F70-I97</f>
        <v>0</v>
      </c>
      <c r="K97" s="52"/>
      <c r="L97" s="41"/>
      <c r="M97" s="65">
        <f t="shared" ref="M97:M105" si="22">ROUND(H70/2,0)</f>
        <v>1</v>
      </c>
      <c r="N97" s="77">
        <f t="shared" ref="N97:N105" si="23">H70-M97</f>
        <v>0</v>
      </c>
      <c r="O97" s="65">
        <f>ROUND(I70/2,0)</f>
        <v>1</v>
      </c>
      <c r="P97" s="77">
        <f>I70-O97</f>
        <v>0</v>
      </c>
      <c r="Q97" s="52"/>
      <c r="R97" s="41"/>
      <c r="T97" s="129">
        <f t="shared" ref="T97:T111" si="24">IF(I97&lt;&gt;0,ROUNDUP(D6*0.1,0),"")</f>
        <v>1</v>
      </c>
      <c r="U97" s="130" t="str">
        <f t="shared" ref="U97:U111" si="25">IF(K97&lt;&gt;0,IF(T97&lt;&gt;"",T97+ROUNDUP(D6*0.05,0),ROUNDUP(D6*0.05,0)),"")</f>
        <v/>
      </c>
      <c r="W97" s="98"/>
      <c r="Z97" s="98"/>
      <c r="AA97" s="98"/>
      <c r="AI97" s="98"/>
      <c r="AJ97" s="98"/>
      <c r="AK97" s="98"/>
      <c r="AL97" s="98"/>
      <c r="AM97" s="98"/>
    </row>
    <row r="98" spans="1:39" x14ac:dyDescent="0.45">
      <c r="A98" s="139"/>
      <c r="B98" s="91" t="s">
        <v>24</v>
      </c>
      <c r="C98" s="87">
        <f t="shared" si="16"/>
        <v>1</v>
      </c>
      <c r="D98" s="44">
        <f t="shared" si="17"/>
        <v>0</v>
      </c>
      <c r="E98" s="69">
        <f t="shared" si="18"/>
        <v>1</v>
      </c>
      <c r="F98" s="44">
        <f t="shared" si="19"/>
        <v>0</v>
      </c>
      <c r="G98" s="42">
        <f>ROUND(E71/2,0)</f>
        <v>1</v>
      </c>
      <c r="H98" s="44">
        <f>E71-G98</f>
        <v>0</v>
      </c>
      <c r="I98" s="42">
        <f t="shared" si="20"/>
        <v>1</v>
      </c>
      <c r="J98" s="74">
        <f t="shared" si="21"/>
        <v>0</v>
      </c>
      <c r="K98" s="45"/>
      <c r="L98" s="43"/>
      <c r="M98" s="42">
        <f t="shared" si="22"/>
        <v>1</v>
      </c>
      <c r="N98" s="74">
        <f t="shared" si="23"/>
        <v>0</v>
      </c>
      <c r="O98" s="65">
        <f>ROUND(I71/2,0)</f>
        <v>1</v>
      </c>
      <c r="P98" s="77">
        <f>I71-O98</f>
        <v>0</v>
      </c>
      <c r="Q98" s="45"/>
      <c r="R98" s="43"/>
      <c r="T98" s="129">
        <f t="shared" si="24"/>
        <v>1</v>
      </c>
      <c r="U98" s="130" t="str">
        <f t="shared" si="25"/>
        <v/>
      </c>
      <c r="W98" s="98"/>
      <c r="Z98" s="98"/>
      <c r="AA98" s="98"/>
      <c r="AJ98" s="98"/>
      <c r="AK98" s="98"/>
      <c r="AL98" s="98"/>
      <c r="AM98" s="98"/>
    </row>
    <row r="99" spans="1:39" x14ac:dyDescent="0.45">
      <c r="A99" s="139"/>
      <c r="B99" s="91" t="s">
        <v>29</v>
      </c>
      <c r="C99" s="87">
        <f t="shared" si="16"/>
        <v>1</v>
      </c>
      <c r="D99" s="44">
        <f t="shared" si="17"/>
        <v>0</v>
      </c>
      <c r="E99" s="69">
        <f t="shared" si="18"/>
        <v>1</v>
      </c>
      <c r="F99" s="44">
        <f t="shared" si="19"/>
        <v>0</v>
      </c>
      <c r="G99" s="42">
        <f>ROUND(E72/2,0)</f>
        <v>1</v>
      </c>
      <c r="H99" s="44">
        <f>E72-G99</f>
        <v>0</v>
      </c>
      <c r="I99" s="42">
        <f t="shared" si="20"/>
        <v>1</v>
      </c>
      <c r="J99" s="74">
        <f t="shared" si="21"/>
        <v>0</v>
      </c>
      <c r="K99" s="42">
        <f>ROUND(G72/2,0)</f>
        <v>1</v>
      </c>
      <c r="L99" s="44">
        <f>G72-K99</f>
        <v>1</v>
      </c>
      <c r="M99" s="42">
        <f t="shared" si="22"/>
        <v>1</v>
      </c>
      <c r="N99" s="74">
        <f t="shared" si="23"/>
        <v>0</v>
      </c>
      <c r="O99" s="65">
        <f>ROUND(I72/2,0)</f>
        <v>1</v>
      </c>
      <c r="P99" s="77">
        <f>I72-O99</f>
        <v>0</v>
      </c>
      <c r="Q99" s="45"/>
      <c r="R99" s="43"/>
      <c r="T99" s="129">
        <f t="shared" si="24"/>
        <v>1</v>
      </c>
      <c r="U99" s="131">
        <f t="shared" si="25"/>
        <v>2</v>
      </c>
      <c r="W99" s="98"/>
      <c r="Z99" s="98"/>
      <c r="AA99" s="98"/>
      <c r="AJ99" s="98"/>
      <c r="AK99" s="98"/>
      <c r="AL99" s="98"/>
      <c r="AM99" s="98"/>
    </row>
    <row r="100" spans="1:39" x14ac:dyDescent="0.45">
      <c r="A100" s="139"/>
      <c r="B100" s="91" t="s">
        <v>31</v>
      </c>
      <c r="C100" s="87">
        <f t="shared" si="16"/>
        <v>1</v>
      </c>
      <c r="D100" s="44">
        <f t="shared" si="17"/>
        <v>0</v>
      </c>
      <c r="E100" s="69">
        <f t="shared" si="18"/>
        <v>1</v>
      </c>
      <c r="F100" s="44">
        <f t="shared" si="19"/>
        <v>0</v>
      </c>
      <c r="G100" s="42">
        <f>ROUND(E73/2,0)</f>
        <v>1</v>
      </c>
      <c r="H100" s="44">
        <f>E73-G100</f>
        <v>0</v>
      </c>
      <c r="I100" s="42">
        <f t="shared" si="20"/>
        <v>1</v>
      </c>
      <c r="J100" s="74">
        <f t="shared" si="21"/>
        <v>0</v>
      </c>
      <c r="K100" s="42">
        <f>ROUND(G73/2,0)</f>
        <v>1</v>
      </c>
      <c r="L100" s="44">
        <f>G73-K100</f>
        <v>1</v>
      </c>
      <c r="M100" s="42">
        <f t="shared" si="22"/>
        <v>1</v>
      </c>
      <c r="N100" s="74">
        <f t="shared" si="23"/>
        <v>0</v>
      </c>
      <c r="O100" s="65">
        <f>ROUND(I73/2,0)</f>
        <v>1</v>
      </c>
      <c r="P100" s="77">
        <f>I73-O100</f>
        <v>1</v>
      </c>
      <c r="Q100" s="65">
        <f>ROUND(J73/2,0)</f>
        <v>2</v>
      </c>
      <c r="R100" s="77">
        <f>J73-Q100</f>
        <v>1</v>
      </c>
      <c r="T100" s="129">
        <f t="shared" si="24"/>
        <v>1</v>
      </c>
      <c r="U100" s="131">
        <f t="shared" si="25"/>
        <v>2</v>
      </c>
      <c r="W100" s="98"/>
      <c r="Z100" s="98"/>
      <c r="AA100" s="98"/>
      <c r="AJ100" s="98"/>
      <c r="AK100" s="98"/>
    </row>
    <row r="101" spans="1:39" x14ac:dyDescent="0.45">
      <c r="A101" s="139" t="s">
        <v>33</v>
      </c>
      <c r="B101" s="91" t="s">
        <v>34</v>
      </c>
      <c r="C101" s="87">
        <f t="shared" si="16"/>
        <v>1</v>
      </c>
      <c r="D101" s="44">
        <f t="shared" si="17"/>
        <v>0</v>
      </c>
      <c r="E101" s="69">
        <f t="shared" si="18"/>
        <v>1</v>
      </c>
      <c r="F101" s="44">
        <f t="shared" si="19"/>
        <v>0</v>
      </c>
      <c r="G101" s="42">
        <f>ROUND(E74/2,0)</f>
        <v>1</v>
      </c>
      <c r="H101" s="44">
        <f>E74-G101</f>
        <v>0</v>
      </c>
      <c r="I101" s="42">
        <f t="shared" si="20"/>
        <v>1</v>
      </c>
      <c r="J101" s="74">
        <f t="shared" si="21"/>
        <v>0</v>
      </c>
      <c r="K101" s="42">
        <f>ROUND(G74/2,0)</f>
        <v>1</v>
      </c>
      <c r="L101" s="44">
        <f>G74-K101</f>
        <v>1</v>
      </c>
      <c r="M101" s="42">
        <f t="shared" si="22"/>
        <v>1</v>
      </c>
      <c r="N101" s="74">
        <f t="shared" si="23"/>
        <v>0</v>
      </c>
      <c r="O101" s="65">
        <f>ROUND(I74/2,0)</f>
        <v>1</v>
      </c>
      <c r="P101" s="77">
        <f>I74-O101</f>
        <v>1</v>
      </c>
      <c r="Q101" s="65">
        <f>ROUND(J74/2,0)</f>
        <v>2</v>
      </c>
      <c r="R101" s="77">
        <f>J74-Q101</f>
        <v>1</v>
      </c>
      <c r="T101" s="129">
        <f t="shared" si="24"/>
        <v>1</v>
      </c>
      <c r="U101" s="131">
        <f t="shared" si="25"/>
        <v>2</v>
      </c>
      <c r="W101" s="98"/>
      <c r="Z101" s="98"/>
      <c r="AA101" s="98"/>
      <c r="AJ101" s="98"/>
      <c r="AK101" s="98"/>
    </row>
    <row r="102" spans="1:39" x14ac:dyDescent="0.45">
      <c r="A102" s="139"/>
      <c r="B102" s="91" t="s">
        <v>36</v>
      </c>
      <c r="C102" s="87">
        <f t="shared" si="16"/>
        <v>1</v>
      </c>
      <c r="D102" s="44">
        <f t="shared" si="17"/>
        <v>0</v>
      </c>
      <c r="E102" s="69">
        <f t="shared" si="18"/>
        <v>1</v>
      </c>
      <c r="F102" s="44">
        <f t="shared" si="19"/>
        <v>0</v>
      </c>
      <c r="G102" s="45"/>
      <c r="H102" s="43"/>
      <c r="I102" s="42">
        <f t="shared" si="20"/>
        <v>1</v>
      </c>
      <c r="J102" s="74">
        <f t="shared" si="21"/>
        <v>0</v>
      </c>
      <c r="K102" s="42">
        <f>ROUND(G75/2,0)</f>
        <v>1</v>
      </c>
      <c r="L102" s="44">
        <f>G75-K102</f>
        <v>1</v>
      </c>
      <c r="M102" s="42">
        <f t="shared" si="22"/>
        <v>1</v>
      </c>
      <c r="N102" s="74">
        <f t="shared" si="23"/>
        <v>0</v>
      </c>
      <c r="O102" s="45"/>
      <c r="P102" s="43"/>
      <c r="Q102" s="45"/>
      <c r="R102" s="43"/>
      <c r="T102" s="129">
        <f t="shared" si="24"/>
        <v>2</v>
      </c>
      <c r="U102" s="131">
        <f t="shared" si="25"/>
        <v>3</v>
      </c>
      <c r="W102" s="98"/>
      <c r="Z102" s="98"/>
      <c r="AA102" s="98"/>
      <c r="AJ102" s="98"/>
      <c r="AK102" s="98"/>
    </row>
    <row r="103" spans="1:39" x14ac:dyDescent="0.45">
      <c r="A103" s="139"/>
      <c r="B103" s="91" t="s">
        <v>38</v>
      </c>
      <c r="C103" s="87">
        <f t="shared" si="16"/>
        <v>1</v>
      </c>
      <c r="D103" s="44">
        <f t="shared" si="17"/>
        <v>0</v>
      </c>
      <c r="E103" s="69">
        <f t="shared" si="18"/>
        <v>1</v>
      </c>
      <c r="F103" s="44">
        <f t="shared" si="19"/>
        <v>0</v>
      </c>
      <c r="G103" s="45"/>
      <c r="H103" s="43"/>
      <c r="I103" s="42">
        <f t="shared" si="20"/>
        <v>1</v>
      </c>
      <c r="J103" s="74">
        <f t="shared" si="21"/>
        <v>0</v>
      </c>
      <c r="K103" s="45"/>
      <c r="L103" s="43"/>
      <c r="M103" s="42">
        <f t="shared" si="22"/>
        <v>1</v>
      </c>
      <c r="N103" s="74">
        <f t="shared" si="23"/>
        <v>0</v>
      </c>
      <c r="O103" s="45"/>
      <c r="P103" s="43"/>
      <c r="Q103" s="45"/>
      <c r="R103" s="43"/>
      <c r="T103" s="129">
        <f t="shared" si="24"/>
        <v>1</v>
      </c>
      <c r="U103" s="130" t="str">
        <f t="shared" si="25"/>
        <v/>
      </c>
      <c r="W103" s="98"/>
      <c r="Z103" s="98"/>
      <c r="AA103" s="98"/>
      <c r="AJ103" s="98"/>
      <c r="AK103" s="98"/>
    </row>
    <row r="104" spans="1:39" x14ac:dyDescent="0.45">
      <c r="A104" s="139"/>
      <c r="B104" s="91" t="s">
        <v>40</v>
      </c>
      <c r="C104" s="87">
        <f t="shared" si="16"/>
        <v>1</v>
      </c>
      <c r="D104" s="44">
        <f t="shared" si="17"/>
        <v>0</v>
      </c>
      <c r="E104" s="69">
        <f t="shared" si="18"/>
        <v>1</v>
      </c>
      <c r="F104" s="44">
        <f t="shared" si="19"/>
        <v>0</v>
      </c>
      <c r="G104" s="45"/>
      <c r="H104" s="43"/>
      <c r="I104" s="42">
        <f t="shared" si="20"/>
        <v>1</v>
      </c>
      <c r="J104" s="74">
        <f t="shared" si="21"/>
        <v>0</v>
      </c>
      <c r="K104" s="42">
        <f>ROUND(G77/2,0)</f>
        <v>1</v>
      </c>
      <c r="L104" s="44">
        <f>G77-K104</f>
        <v>1</v>
      </c>
      <c r="M104" s="42">
        <f t="shared" si="22"/>
        <v>1</v>
      </c>
      <c r="N104" s="74">
        <f t="shared" si="23"/>
        <v>0</v>
      </c>
      <c r="O104" s="45"/>
      <c r="P104" s="43"/>
      <c r="Q104" s="45"/>
      <c r="R104" s="43"/>
      <c r="T104" s="129">
        <f t="shared" si="24"/>
        <v>2</v>
      </c>
      <c r="U104" s="131">
        <f t="shared" si="25"/>
        <v>3</v>
      </c>
      <c r="W104" s="98"/>
      <c r="Z104" s="98"/>
      <c r="AA104" s="98"/>
      <c r="AJ104" s="98"/>
      <c r="AK104" s="98"/>
    </row>
    <row r="105" spans="1:39" x14ac:dyDescent="0.45">
      <c r="A105" s="14" t="s">
        <v>41</v>
      </c>
      <c r="B105" s="91" t="s">
        <v>42</v>
      </c>
      <c r="C105" s="87">
        <f t="shared" si="16"/>
        <v>1</v>
      </c>
      <c r="D105" s="44">
        <f t="shared" si="17"/>
        <v>0</v>
      </c>
      <c r="E105" s="69">
        <f t="shared" si="18"/>
        <v>1</v>
      </c>
      <c r="F105" s="44">
        <f t="shared" si="19"/>
        <v>0</v>
      </c>
      <c r="G105" s="45"/>
      <c r="H105" s="43"/>
      <c r="I105" s="42">
        <f t="shared" si="20"/>
        <v>1</v>
      </c>
      <c r="J105" s="74">
        <f t="shared" si="21"/>
        <v>0</v>
      </c>
      <c r="K105" s="45"/>
      <c r="L105" s="43"/>
      <c r="M105" s="42">
        <f t="shared" si="22"/>
        <v>1</v>
      </c>
      <c r="N105" s="74">
        <f t="shared" si="23"/>
        <v>0</v>
      </c>
      <c r="O105" s="45"/>
      <c r="P105" s="43"/>
      <c r="Q105" s="45"/>
      <c r="R105" s="43"/>
      <c r="T105" s="129">
        <f t="shared" si="24"/>
        <v>1</v>
      </c>
      <c r="U105" s="130" t="str">
        <f t="shared" si="25"/>
        <v/>
      </c>
      <c r="W105" s="98"/>
      <c r="Z105" s="98"/>
      <c r="AA105" s="98"/>
      <c r="AJ105" s="98"/>
      <c r="AK105" s="98"/>
    </row>
    <row r="106" spans="1:39" x14ac:dyDescent="0.45">
      <c r="A106" s="139" t="s">
        <v>45</v>
      </c>
      <c r="B106" s="91" t="s">
        <v>46</v>
      </c>
      <c r="C106" s="49"/>
      <c r="D106" s="43"/>
      <c r="E106" s="45"/>
      <c r="F106" s="43"/>
      <c r="G106" s="45"/>
      <c r="H106" s="43"/>
      <c r="I106" s="45"/>
      <c r="J106" s="73"/>
      <c r="K106" s="45"/>
      <c r="L106" s="43"/>
      <c r="M106" s="45"/>
      <c r="N106" s="73"/>
      <c r="O106" s="45"/>
      <c r="P106" s="43"/>
      <c r="Q106" s="45"/>
      <c r="R106" s="43"/>
      <c r="T106" s="130" t="str">
        <f t="shared" si="24"/>
        <v/>
      </c>
      <c r="U106" s="130" t="str">
        <f t="shared" si="25"/>
        <v/>
      </c>
      <c r="W106" s="98"/>
      <c r="Z106" s="98"/>
      <c r="AA106" s="98"/>
      <c r="AJ106" s="98"/>
      <c r="AK106" s="98"/>
    </row>
    <row r="107" spans="1:39" x14ac:dyDescent="0.45">
      <c r="A107" s="139"/>
      <c r="B107" s="91" t="s">
        <v>48</v>
      </c>
      <c r="C107" s="49"/>
      <c r="D107" s="43"/>
      <c r="E107" s="45"/>
      <c r="F107" s="43"/>
      <c r="G107" s="45"/>
      <c r="H107" s="43"/>
      <c r="I107" s="45"/>
      <c r="J107" s="73"/>
      <c r="K107" s="45"/>
      <c r="L107" s="43"/>
      <c r="M107" s="45"/>
      <c r="N107" s="73"/>
      <c r="O107" s="45"/>
      <c r="P107" s="43"/>
      <c r="Q107" s="45"/>
      <c r="R107" s="43"/>
      <c r="T107" s="130" t="str">
        <f t="shared" si="24"/>
        <v/>
      </c>
      <c r="U107" s="130" t="str">
        <f t="shared" si="25"/>
        <v/>
      </c>
      <c r="W107" s="98"/>
      <c r="Z107" s="98"/>
      <c r="AA107" s="98"/>
      <c r="AJ107" s="98"/>
      <c r="AK107" s="98"/>
    </row>
    <row r="108" spans="1:39" x14ac:dyDescent="0.45">
      <c r="A108" s="139"/>
      <c r="B108" s="91" t="s">
        <v>49</v>
      </c>
      <c r="C108" s="49"/>
      <c r="D108" s="43"/>
      <c r="E108" s="45"/>
      <c r="F108" s="43"/>
      <c r="G108" s="45"/>
      <c r="H108" s="43"/>
      <c r="I108" s="45"/>
      <c r="J108" s="73"/>
      <c r="K108" s="45"/>
      <c r="L108" s="43"/>
      <c r="M108" s="45"/>
      <c r="N108" s="73"/>
      <c r="O108" s="45"/>
      <c r="P108" s="43"/>
      <c r="Q108" s="45"/>
      <c r="R108" s="43"/>
      <c r="T108" s="130" t="str">
        <f t="shared" si="24"/>
        <v/>
      </c>
      <c r="U108" s="130" t="str">
        <f t="shared" si="25"/>
        <v/>
      </c>
      <c r="W108" s="98"/>
      <c r="Z108" s="98"/>
      <c r="AA108" s="98"/>
      <c r="AJ108" s="98"/>
      <c r="AK108" s="98"/>
    </row>
    <row r="109" spans="1:39" x14ac:dyDescent="0.45">
      <c r="A109" s="139"/>
      <c r="B109" s="91" t="s">
        <v>50</v>
      </c>
      <c r="C109" s="49"/>
      <c r="D109" s="43"/>
      <c r="E109" s="45"/>
      <c r="F109" s="43"/>
      <c r="G109" s="45"/>
      <c r="H109" s="43"/>
      <c r="I109" s="45"/>
      <c r="J109" s="73"/>
      <c r="K109" s="45"/>
      <c r="L109" s="43"/>
      <c r="M109" s="45"/>
      <c r="N109" s="73"/>
      <c r="O109" s="45"/>
      <c r="P109" s="43"/>
      <c r="Q109" s="45"/>
      <c r="R109" s="43"/>
      <c r="T109" s="130" t="str">
        <f t="shared" si="24"/>
        <v/>
      </c>
      <c r="U109" s="130" t="str">
        <f t="shared" si="25"/>
        <v/>
      </c>
      <c r="W109" s="98"/>
      <c r="Z109" s="98"/>
      <c r="AA109" s="98"/>
      <c r="AJ109" s="98"/>
      <c r="AK109" s="98"/>
    </row>
    <row r="110" spans="1:39" x14ac:dyDescent="0.45">
      <c r="A110" s="139" t="s">
        <v>51</v>
      </c>
      <c r="B110" s="91" t="s">
        <v>52</v>
      </c>
      <c r="C110" s="87">
        <f>ROUND(C83/2,0)</f>
        <v>1</v>
      </c>
      <c r="D110" s="44">
        <f>C83-C110</f>
        <v>0</v>
      </c>
      <c r="E110" s="69">
        <f>ROUND(D83/2,0)</f>
        <v>1</v>
      </c>
      <c r="F110" s="44">
        <f>D83-E110</f>
        <v>0</v>
      </c>
      <c r="G110" s="45"/>
      <c r="H110" s="43"/>
      <c r="I110" s="42">
        <f>ROUND(F83/2,0)</f>
        <v>1</v>
      </c>
      <c r="J110" s="74">
        <f>F83-I110</f>
        <v>1</v>
      </c>
      <c r="K110" s="45"/>
      <c r="L110" s="43"/>
      <c r="M110" s="42">
        <f>ROUND(H83/2,0)</f>
        <v>1</v>
      </c>
      <c r="N110" s="74">
        <f>H83-M110</f>
        <v>0</v>
      </c>
      <c r="O110" s="45"/>
      <c r="P110" s="43"/>
      <c r="Q110" s="45"/>
      <c r="R110" s="43"/>
      <c r="T110" s="129">
        <f t="shared" si="24"/>
        <v>2</v>
      </c>
      <c r="U110" s="130" t="str">
        <f t="shared" si="25"/>
        <v/>
      </c>
      <c r="W110" s="98"/>
      <c r="X110" s="98"/>
      <c r="Y110" s="98"/>
      <c r="Z110" s="98"/>
      <c r="AA110" s="98"/>
      <c r="AJ110" s="98"/>
      <c r="AK110" s="98"/>
    </row>
    <row r="111" spans="1:39" ht="14.65" thickBot="1" x14ac:dyDescent="0.5">
      <c r="A111" s="140"/>
      <c r="B111" s="92" t="s">
        <v>53</v>
      </c>
      <c r="C111" s="88">
        <f>ROUND(C84/2,0)</f>
        <v>1</v>
      </c>
      <c r="D111" s="68">
        <f>C84-C111</f>
        <v>0</v>
      </c>
      <c r="E111" s="70">
        <f>ROUND(D84/2,0)</f>
        <v>1</v>
      </c>
      <c r="F111" s="68">
        <f>D84-E111</f>
        <v>0</v>
      </c>
      <c r="G111" s="61"/>
      <c r="H111" s="48"/>
      <c r="I111" s="46">
        <f>ROUND(F84/2,0)</f>
        <v>1</v>
      </c>
      <c r="J111" s="76">
        <f>F84-I111</f>
        <v>1</v>
      </c>
      <c r="K111" s="61"/>
      <c r="L111" s="48"/>
      <c r="M111" s="61"/>
      <c r="N111" s="75"/>
      <c r="O111" s="61"/>
      <c r="P111" s="48"/>
      <c r="Q111" s="61"/>
      <c r="R111" s="48"/>
      <c r="T111" s="129">
        <f t="shared" si="24"/>
        <v>1</v>
      </c>
      <c r="U111" s="130" t="str">
        <f t="shared" si="25"/>
        <v/>
      </c>
      <c r="W111" s="98"/>
      <c r="X111" s="98"/>
      <c r="Y111" s="98"/>
      <c r="Z111" s="98"/>
      <c r="AA111" s="98"/>
      <c r="AJ111" s="98"/>
      <c r="AK111" s="98"/>
    </row>
    <row r="112" spans="1:39" x14ac:dyDescent="0.45">
      <c r="W112" s="98"/>
      <c r="X112" s="98"/>
      <c r="Y112" s="98"/>
      <c r="Z112" s="98"/>
      <c r="AA112" s="98"/>
      <c r="AJ112" s="98"/>
      <c r="AK112" s="98"/>
    </row>
    <row r="113" spans="1:37" ht="14.65" thickBot="1" x14ac:dyDescent="0.5">
      <c r="C113" s="176" t="s">
        <v>56</v>
      </c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W113" s="98"/>
      <c r="X113" s="98"/>
      <c r="Y113" s="98"/>
      <c r="Z113" s="98"/>
      <c r="AA113" s="98"/>
      <c r="AJ113" s="98"/>
      <c r="AK113" s="98"/>
    </row>
    <row r="114" spans="1:37" x14ac:dyDescent="0.45">
      <c r="A114" s="9" t="s">
        <v>3</v>
      </c>
      <c r="B114" s="89" t="s">
        <v>4</v>
      </c>
      <c r="C114" s="141" t="s">
        <v>62</v>
      </c>
      <c r="D114" s="142"/>
      <c r="E114" s="137" t="s">
        <v>75</v>
      </c>
      <c r="F114" s="137"/>
      <c r="G114" s="143" t="s">
        <v>76</v>
      </c>
      <c r="H114" s="144"/>
      <c r="I114" s="141" t="s">
        <v>77</v>
      </c>
      <c r="J114" s="142"/>
      <c r="K114" s="141" t="s">
        <v>78</v>
      </c>
      <c r="L114" s="142"/>
      <c r="M114" s="141" t="s">
        <v>79</v>
      </c>
      <c r="N114" s="142"/>
      <c r="O114" s="141" t="s">
        <v>80</v>
      </c>
      <c r="P114" s="142"/>
      <c r="Q114" s="141" t="s">
        <v>81</v>
      </c>
      <c r="R114" s="142"/>
      <c r="T114" s="137" t="s">
        <v>77</v>
      </c>
      <c r="U114" s="137" t="s">
        <v>78</v>
      </c>
      <c r="W114" s="98"/>
      <c r="X114" s="98"/>
      <c r="Y114" s="98"/>
      <c r="Z114" s="98"/>
      <c r="AA114" s="98"/>
      <c r="AJ114" s="98"/>
      <c r="AK114" s="98"/>
    </row>
    <row r="115" spans="1:37" x14ac:dyDescent="0.45">
      <c r="A115" s="64"/>
      <c r="B115" s="90"/>
      <c r="C115" s="133" t="s">
        <v>82</v>
      </c>
      <c r="D115" s="132" t="s">
        <v>83</v>
      </c>
      <c r="E115" s="133" t="s">
        <v>82</v>
      </c>
      <c r="F115" s="132" t="s">
        <v>83</v>
      </c>
      <c r="G115" s="133" t="s">
        <v>82</v>
      </c>
      <c r="H115" s="132" t="s">
        <v>83</v>
      </c>
      <c r="I115" s="133" t="s">
        <v>82</v>
      </c>
      <c r="J115" s="132" t="s">
        <v>83</v>
      </c>
      <c r="K115" s="133" t="s">
        <v>82</v>
      </c>
      <c r="L115" s="132" t="s">
        <v>83</v>
      </c>
      <c r="M115" s="133" t="s">
        <v>82</v>
      </c>
      <c r="N115" s="132" t="s">
        <v>83</v>
      </c>
      <c r="O115" s="133" t="s">
        <v>82</v>
      </c>
      <c r="P115" s="132" t="s">
        <v>83</v>
      </c>
      <c r="Q115" s="133" t="s">
        <v>82</v>
      </c>
      <c r="R115" s="132" t="s">
        <v>83</v>
      </c>
      <c r="T115" s="137"/>
      <c r="U115" s="137"/>
      <c r="W115" s="98"/>
      <c r="X115" s="98"/>
      <c r="Y115" s="98"/>
      <c r="Z115" s="98"/>
      <c r="AA115" s="98"/>
      <c r="AJ115" s="98"/>
      <c r="AK115" s="98"/>
    </row>
    <row r="116" spans="1:37" x14ac:dyDescent="0.45">
      <c r="A116" s="139" t="s">
        <v>10</v>
      </c>
      <c r="B116" s="91" t="s">
        <v>11</v>
      </c>
      <c r="C116" s="78"/>
      <c r="D116" s="79"/>
      <c r="E116" s="78"/>
      <c r="F116" s="79"/>
      <c r="G116" s="52"/>
      <c r="H116" s="41"/>
      <c r="I116" s="52"/>
      <c r="J116" s="83"/>
      <c r="K116" s="52"/>
      <c r="L116" s="41"/>
      <c r="M116" s="52"/>
      <c r="N116" s="83"/>
      <c r="O116" s="52"/>
      <c r="P116" s="41"/>
      <c r="Q116" s="52"/>
      <c r="R116" s="41"/>
      <c r="T116" s="45" t="str">
        <f t="shared" ref="T116:T130" si="26">IF(I116&lt;&gt;0,ROUNDUP(D6*0.1,0),"")</f>
        <v/>
      </c>
      <c r="U116" s="73" t="str">
        <f t="shared" ref="U116:U130" si="27">IF(K116&lt;&gt;0,IF(T116&lt;&gt;"",T116+ROUNDUP(D6*0.05,0),ROUNDUP(D6*0.05,0)),"")</f>
        <v/>
      </c>
      <c r="W116" s="98"/>
      <c r="X116" s="98"/>
      <c r="Y116" s="98"/>
      <c r="Z116" s="98"/>
      <c r="AA116" s="98"/>
      <c r="AB116" s="98"/>
      <c r="AC116" s="98"/>
      <c r="AJ116" s="98"/>
      <c r="AK116" s="98"/>
    </row>
    <row r="117" spans="1:37" x14ac:dyDescent="0.45">
      <c r="A117" s="139"/>
      <c r="B117" s="91" t="s">
        <v>24</v>
      </c>
      <c r="C117" s="45"/>
      <c r="D117" s="43"/>
      <c r="E117" s="45"/>
      <c r="F117" s="43"/>
      <c r="G117" s="45"/>
      <c r="H117" s="43"/>
      <c r="I117" s="45"/>
      <c r="J117" s="73"/>
      <c r="K117" s="45"/>
      <c r="L117" s="43"/>
      <c r="M117" s="45"/>
      <c r="N117" s="73"/>
      <c r="O117" s="45"/>
      <c r="P117" s="43"/>
      <c r="Q117" s="45"/>
      <c r="R117" s="43"/>
      <c r="T117" s="45" t="str">
        <f t="shared" si="26"/>
        <v/>
      </c>
      <c r="U117" s="73" t="str">
        <f t="shared" si="27"/>
        <v/>
      </c>
      <c r="W117" s="98"/>
      <c r="X117" s="98"/>
      <c r="Y117" s="98"/>
      <c r="Z117" s="98"/>
      <c r="AA117" s="98"/>
      <c r="AB117" s="98"/>
      <c r="AC117" s="98"/>
      <c r="AJ117" s="98"/>
      <c r="AK117" s="98"/>
    </row>
    <row r="118" spans="1:37" x14ac:dyDescent="0.45">
      <c r="A118" s="139"/>
      <c r="B118" s="91" t="s">
        <v>29</v>
      </c>
      <c r="C118" s="45"/>
      <c r="D118" s="43"/>
      <c r="E118" s="45"/>
      <c r="F118" s="43"/>
      <c r="G118" s="45"/>
      <c r="H118" s="43"/>
      <c r="I118" s="45"/>
      <c r="J118" s="73"/>
      <c r="K118" s="45"/>
      <c r="L118" s="43"/>
      <c r="M118" s="45"/>
      <c r="N118" s="73"/>
      <c r="O118" s="45"/>
      <c r="P118" s="43"/>
      <c r="Q118" s="45"/>
      <c r="R118" s="43"/>
      <c r="T118" s="45" t="str">
        <f t="shared" si="26"/>
        <v/>
      </c>
      <c r="U118" s="73" t="str">
        <f t="shared" si="27"/>
        <v/>
      </c>
    </row>
    <row r="119" spans="1:37" x14ac:dyDescent="0.45">
      <c r="A119" s="139"/>
      <c r="B119" s="91" t="s">
        <v>31</v>
      </c>
      <c r="C119" s="45"/>
      <c r="D119" s="43"/>
      <c r="E119" s="45"/>
      <c r="F119" s="43"/>
      <c r="G119" s="45"/>
      <c r="H119" s="43"/>
      <c r="I119" s="45"/>
      <c r="J119" s="73"/>
      <c r="K119" s="45"/>
      <c r="L119" s="43"/>
      <c r="M119" s="45"/>
      <c r="N119" s="73"/>
      <c r="O119" s="45"/>
      <c r="P119" s="43"/>
      <c r="Q119" s="45"/>
      <c r="R119" s="43"/>
      <c r="T119" s="45" t="str">
        <f t="shared" si="26"/>
        <v/>
      </c>
      <c r="U119" s="73" t="str">
        <f t="shared" si="27"/>
        <v/>
      </c>
    </row>
    <row r="120" spans="1:37" x14ac:dyDescent="0.45">
      <c r="A120" s="139" t="s">
        <v>33</v>
      </c>
      <c r="B120" s="91" t="s">
        <v>34</v>
      </c>
      <c r="C120" s="45"/>
      <c r="D120" s="43"/>
      <c r="E120" s="45"/>
      <c r="F120" s="43"/>
      <c r="G120" s="45"/>
      <c r="H120" s="43"/>
      <c r="I120" s="45"/>
      <c r="J120" s="73"/>
      <c r="K120" s="45"/>
      <c r="L120" s="43"/>
      <c r="M120" s="45"/>
      <c r="N120" s="73"/>
      <c r="O120" s="45"/>
      <c r="P120" s="43"/>
      <c r="Q120" s="45"/>
      <c r="R120" s="43"/>
      <c r="T120" s="45" t="str">
        <f t="shared" si="26"/>
        <v/>
      </c>
      <c r="U120" s="73" t="str">
        <f t="shared" si="27"/>
        <v/>
      </c>
    </row>
    <row r="121" spans="1:37" x14ac:dyDescent="0.45">
      <c r="A121" s="139"/>
      <c r="B121" s="91" t="s">
        <v>36</v>
      </c>
      <c r="C121" s="65">
        <f>ROUND(L75/2,0)</f>
        <v>1</v>
      </c>
      <c r="D121" s="77">
        <f>L75-C121</f>
        <v>0</v>
      </c>
      <c r="E121" s="65">
        <f>ROUND(M75/2,0)</f>
        <v>1</v>
      </c>
      <c r="F121" s="77">
        <f>M75-E121</f>
        <v>0</v>
      </c>
      <c r="G121" s="45"/>
      <c r="H121" s="43"/>
      <c r="I121" s="65">
        <f>ROUND(O75/2,0)</f>
        <v>1</v>
      </c>
      <c r="J121" s="77">
        <f>O75-I121</f>
        <v>0</v>
      </c>
      <c r="K121" s="65">
        <f>ROUND(P75/2,0)</f>
        <v>1</v>
      </c>
      <c r="L121" s="77">
        <f>P75-K121</f>
        <v>1</v>
      </c>
      <c r="M121" s="65">
        <f>ROUND(Q75/2,0)</f>
        <v>1</v>
      </c>
      <c r="N121" s="77">
        <f>Q75-M121</f>
        <v>0</v>
      </c>
      <c r="O121" s="45"/>
      <c r="P121" s="43"/>
      <c r="Q121" s="45"/>
      <c r="R121" s="43"/>
      <c r="T121" s="80">
        <f t="shared" si="26"/>
        <v>2</v>
      </c>
      <c r="U121" s="97">
        <f t="shared" si="27"/>
        <v>3</v>
      </c>
    </row>
    <row r="122" spans="1:37" x14ac:dyDescent="0.45">
      <c r="A122" s="139"/>
      <c r="B122" s="91" t="s">
        <v>38</v>
      </c>
      <c r="C122" s="65">
        <f>ROUND(L76/2,0)</f>
        <v>1</v>
      </c>
      <c r="D122" s="77">
        <f>L76-C122</f>
        <v>0</v>
      </c>
      <c r="E122" s="65">
        <f>ROUND(M76/2,0)</f>
        <v>1</v>
      </c>
      <c r="F122" s="77">
        <f>M76-E122</f>
        <v>0</v>
      </c>
      <c r="G122" s="65">
        <f>ROUND(N76/2,0)</f>
        <v>1</v>
      </c>
      <c r="H122" s="77">
        <f>N76-G122</f>
        <v>1</v>
      </c>
      <c r="I122" s="65">
        <f>ROUND(O76/2,0)</f>
        <v>1</v>
      </c>
      <c r="J122" s="77">
        <f>O76-I122</f>
        <v>1</v>
      </c>
      <c r="K122" s="45"/>
      <c r="L122" s="43"/>
      <c r="M122" s="65">
        <f>ROUND(Q76/2,0)</f>
        <v>1</v>
      </c>
      <c r="N122" s="77">
        <f>Q76-M122</f>
        <v>0</v>
      </c>
      <c r="O122" s="65">
        <f>ROUND(R76/2,0)</f>
        <v>1</v>
      </c>
      <c r="P122" s="77">
        <f>R76-O122</f>
        <v>1</v>
      </c>
      <c r="Q122" s="45"/>
      <c r="R122" s="43"/>
      <c r="T122" s="80">
        <f t="shared" si="26"/>
        <v>1</v>
      </c>
      <c r="U122" s="73" t="str">
        <f t="shared" si="27"/>
        <v/>
      </c>
    </row>
    <row r="123" spans="1:37" x14ac:dyDescent="0.45">
      <c r="A123" s="139"/>
      <c r="B123" s="91" t="s">
        <v>40</v>
      </c>
      <c r="C123" s="65">
        <f>ROUND(L77/2,0)</f>
        <v>1</v>
      </c>
      <c r="D123" s="77">
        <f>L77-C123</f>
        <v>0</v>
      </c>
      <c r="E123" s="65">
        <f>ROUND(M77/2,0)</f>
        <v>1</v>
      </c>
      <c r="F123" s="77">
        <f>M77-E123</f>
        <v>0</v>
      </c>
      <c r="G123" s="45"/>
      <c r="H123" s="43"/>
      <c r="I123" s="65">
        <f>ROUND(O77/2,0)</f>
        <v>1</v>
      </c>
      <c r="J123" s="77">
        <f>O77-I123</f>
        <v>0</v>
      </c>
      <c r="K123" s="65">
        <f>ROUND(P77/2,0)</f>
        <v>1</v>
      </c>
      <c r="L123" s="77">
        <f>P77-K123</f>
        <v>1</v>
      </c>
      <c r="M123" s="65">
        <f>ROUND(Q77/2,0)</f>
        <v>1</v>
      </c>
      <c r="N123" s="77">
        <f>Q77-M123</f>
        <v>0</v>
      </c>
      <c r="O123" s="45"/>
      <c r="P123" s="43"/>
      <c r="Q123" s="45"/>
      <c r="R123" s="43"/>
      <c r="T123" s="80">
        <f t="shared" si="26"/>
        <v>2</v>
      </c>
      <c r="U123" s="97">
        <f t="shared" si="27"/>
        <v>3</v>
      </c>
    </row>
    <row r="124" spans="1:37" x14ac:dyDescent="0.45">
      <c r="A124" s="14" t="s">
        <v>41</v>
      </c>
      <c r="B124" s="91" t="s">
        <v>42</v>
      </c>
      <c r="C124" s="65">
        <f>ROUND(L78/2,0)</f>
        <v>1</v>
      </c>
      <c r="D124" s="77">
        <f>L78-C124</f>
        <v>0</v>
      </c>
      <c r="E124" s="65">
        <f>ROUND(M78/2,0)</f>
        <v>1</v>
      </c>
      <c r="F124" s="77">
        <f>M78-E124</f>
        <v>0</v>
      </c>
      <c r="G124" s="65">
        <f>ROUND(N78/2,0)</f>
        <v>1</v>
      </c>
      <c r="H124" s="77">
        <f>N78-G124</f>
        <v>1</v>
      </c>
      <c r="I124" s="65">
        <f>ROUND(O78/2,0)</f>
        <v>1</v>
      </c>
      <c r="J124" s="77">
        <f>O78-I124</f>
        <v>1</v>
      </c>
      <c r="K124" s="45"/>
      <c r="L124" s="43"/>
      <c r="M124" s="65">
        <f>ROUND(Q78/2,0)</f>
        <v>1</v>
      </c>
      <c r="N124" s="77">
        <f>Q78-M124</f>
        <v>0</v>
      </c>
      <c r="O124" s="65">
        <f>ROUND(R78/2,0)</f>
        <v>1</v>
      </c>
      <c r="P124" s="77">
        <f>R78-O124</f>
        <v>1</v>
      </c>
      <c r="Q124" s="45"/>
      <c r="R124" s="43"/>
      <c r="T124" s="80">
        <f t="shared" si="26"/>
        <v>1</v>
      </c>
      <c r="U124" s="73" t="str">
        <f t="shared" si="27"/>
        <v/>
      </c>
    </row>
    <row r="125" spans="1:37" x14ac:dyDescent="0.45">
      <c r="A125" s="139" t="s">
        <v>45</v>
      </c>
      <c r="B125" s="91" t="s">
        <v>46</v>
      </c>
      <c r="C125" s="45"/>
      <c r="D125" s="43"/>
      <c r="E125" s="45"/>
      <c r="F125" s="43"/>
      <c r="G125" s="45"/>
      <c r="H125" s="43"/>
      <c r="I125" s="45"/>
      <c r="J125" s="73"/>
      <c r="K125" s="45"/>
      <c r="L125" s="43"/>
      <c r="M125" s="45"/>
      <c r="N125" s="43"/>
      <c r="O125" s="45"/>
      <c r="P125" s="43"/>
      <c r="Q125" s="45"/>
      <c r="R125" s="43"/>
      <c r="T125" s="45" t="str">
        <f t="shared" si="26"/>
        <v/>
      </c>
      <c r="U125" s="73" t="str">
        <f t="shared" si="27"/>
        <v/>
      </c>
    </row>
    <row r="126" spans="1:37" x14ac:dyDescent="0.45">
      <c r="A126" s="139"/>
      <c r="B126" s="91" t="s">
        <v>48</v>
      </c>
      <c r="C126" s="65">
        <f>ROUND(L80/2,0)</f>
        <v>2</v>
      </c>
      <c r="D126" s="77">
        <f>L80-C126</f>
        <v>1</v>
      </c>
      <c r="E126" s="65">
        <f>ROUND(M80/2,0)</f>
        <v>1</v>
      </c>
      <c r="F126" s="77">
        <f>M80-E126</f>
        <v>1</v>
      </c>
      <c r="G126" s="45"/>
      <c r="H126" s="43"/>
      <c r="I126" s="45"/>
      <c r="J126" s="73"/>
      <c r="K126" s="45"/>
      <c r="L126" s="43"/>
      <c r="M126" s="65">
        <f>ROUND(Q80/2,0)</f>
        <v>1</v>
      </c>
      <c r="N126" s="77">
        <f>Q80-M126</f>
        <v>1</v>
      </c>
      <c r="O126" s="45"/>
      <c r="P126" s="43"/>
      <c r="Q126" s="45"/>
      <c r="R126" s="43"/>
      <c r="T126" s="45" t="str">
        <f t="shared" si="26"/>
        <v/>
      </c>
      <c r="U126" s="73" t="str">
        <f t="shared" si="27"/>
        <v/>
      </c>
    </row>
    <row r="127" spans="1:37" x14ac:dyDescent="0.45">
      <c r="A127" s="139"/>
      <c r="B127" s="91" t="s">
        <v>49</v>
      </c>
      <c r="C127" s="65">
        <f>ROUND(L81/2,0)</f>
        <v>2</v>
      </c>
      <c r="D127" s="77">
        <f>L81-C127</f>
        <v>1</v>
      </c>
      <c r="E127" s="65">
        <f>ROUND(M81/2,0)</f>
        <v>1</v>
      </c>
      <c r="F127" s="77">
        <f>M81-E127</f>
        <v>1</v>
      </c>
      <c r="G127" s="45"/>
      <c r="H127" s="43"/>
      <c r="I127" s="45"/>
      <c r="J127" s="73"/>
      <c r="K127" s="45"/>
      <c r="L127" s="43"/>
      <c r="M127" s="65">
        <f>ROUND(Q81/2,0)</f>
        <v>1</v>
      </c>
      <c r="N127" s="77">
        <f>Q81-M127</f>
        <v>1</v>
      </c>
      <c r="O127" s="45"/>
      <c r="P127" s="43"/>
      <c r="Q127" s="45"/>
      <c r="R127" s="43"/>
      <c r="T127" s="45" t="str">
        <f t="shared" si="26"/>
        <v/>
      </c>
      <c r="U127" s="73" t="str">
        <f t="shared" si="27"/>
        <v/>
      </c>
    </row>
    <row r="128" spans="1:37" x14ac:dyDescent="0.45">
      <c r="A128" s="139"/>
      <c r="B128" s="91" t="s">
        <v>50</v>
      </c>
      <c r="C128" s="65">
        <f>ROUND(L82/2,0)</f>
        <v>2</v>
      </c>
      <c r="D128" s="77">
        <f>L82-C128</f>
        <v>1</v>
      </c>
      <c r="E128" s="65">
        <f>ROUND(M82/2,0)</f>
        <v>1</v>
      </c>
      <c r="F128" s="77">
        <f>M82-E128</f>
        <v>1</v>
      </c>
      <c r="G128" s="45"/>
      <c r="H128" s="43"/>
      <c r="I128" s="45"/>
      <c r="J128" s="73"/>
      <c r="K128" s="45"/>
      <c r="L128" s="43"/>
      <c r="M128" s="65">
        <f>ROUND(Q82/2,0)</f>
        <v>1</v>
      </c>
      <c r="N128" s="77">
        <f>Q82-M128</f>
        <v>1</v>
      </c>
      <c r="O128" s="45"/>
      <c r="P128" s="43"/>
      <c r="Q128" s="45"/>
      <c r="R128" s="43"/>
      <c r="T128" s="45" t="str">
        <f t="shared" si="26"/>
        <v/>
      </c>
      <c r="U128" s="73" t="str">
        <f t="shared" si="27"/>
        <v/>
      </c>
    </row>
    <row r="129" spans="1:21" x14ac:dyDescent="0.45">
      <c r="A129" s="139" t="s">
        <v>51</v>
      </c>
      <c r="B129" s="91" t="s">
        <v>52</v>
      </c>
      <c r="C129" s="65">
        <f>ROUND(L83/2,0)</f>
        <v>2</v>
      </c>
      <c r="D129" s="77">
        <f>L83-C129</f>
        <v>2</v>
      </c>
      <c r="E129" s="65">
        <f>ROUND(M83/2,0)</f>
        <v>1</v>
      </c>
      <c r="F129" s="77">
        <f>M83-E129</f>
        <v>1</v>
      </c>
      <c r="G129" s="45"/>
      <c r="H129" s="43"/>
      <c r="I129" s="65">
        <f>ROUND(O83/2,0)</f>
        <v>1</v>
      </c>
      <c r="J129" s="77">
        <f>O83-I129</f>
        <v>1</v>
      </c>
      <c r="K129" s="45"/>
      <c r="L129" s="43"/>
      <c r="M129" s="65">
        <f>ROUND(Q83/2,0)</f>
        <v>1</v>
      </c>
      <c r="N129" s="77">
        <f>Q83-M129</f>
        <v>1</v>
      </c>
      <c r="O129" s="45"/>
      <c r="P129" s="43"/>
      <c r="Q129" s="45"/>
      <c r="R129" s="43"/>
      <c r="T129" s="80">
        <f t="shared" si="26"/>
        <v>2</v>
      </c>
      <c r="U129" s="73" t="str">
        <f t="shared" si="27"/>
        <v/>
      </c>
    </row>
    <row r="130" spans="1:21" ht="14.65" thickBot="1" x14ac:dyDescent="0.5">
      <c r="A130" s="140"/>
      <c r="B130" s="92" t="s">
        <v>53</v>
      </c>
      <c r="C130" s="84">
        <f>ROUND(L84/2,0)</f>
        <v>2</v>
      </c>
      <c r="D130" s="85">
        <f>L84-C130</f>
        <v>1</v>
      </c>
      <c r="E130" s="84">
        <f>ROUND(M84/2,0)</f>
        <v>1</v>
      </c>
      <c r="F130" s="85">
        <f>M84-E130</f>
        <v>1</v>
      </c>
      <c r="G130" s="61"/>
      <c r="H130" s="48"/>
      <c r="I130" s="65">
        <f>ROUND(O84/2,0)</f>
        <v>1</v>
      </c>
      <c r="J130" s="77">
        <f>O84-I130</f>
        <v>1</v>
      </c>
      <c r="K130" s="61"/>
      <c r="L130" s="48"/>
      <c r="M130" s="61"/>
      <c r="N130" s="75"/>
      <c r="O130" s="61"/>
      <c r="P130" s="48"/>
      <c r="Q130" s="61"/>
      <c r="R130" s="48"/>
      <c r="T130" s="80">
        <f t="shared" si="26"/>
        <v>1</v>
      </c>
      <c r="U130" s="73" t="str">
        <f t="shared" si="27"/>
        <v/>
      </c>
    </row>
    <row r="132" spans="1:21" ht="14.65" thickBot="1" x14ac:dyDescent="0.5">
      <c r="C132" s="177" t="s">
        <v>57</v>
      </c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</row>
    <row r="133" spans="1:21" x14ac:dyDescent="0.45">
      <c r="A133" s="9" t="s">
        <v>3</v>
      </c>
      <c r="B133" s="89" t="s">
        <v>4</v>
      </c>
      <c r="C133" s="141" t="s">
        <v>62</v>
      </c>
      <c r="D133" s="142"/>
      <c r="E133" s="137" t="s">
        <v>75</v>
      </c>
      <c r="F133" s="137"/>
      <c r="G133" s="143" t="s">
        <v>76</v>
      </c>
      <c r="H133" s="144"/>
      <c r="I133" s="141" t="s">
        <v>77</v>
      </c>
      <c r="J133" s="142"/>
      <c r="K133" s="141" t="s">
        <v>78</v>
      </c>
      <c r="L133" s="142"/>
      <c r="M133" s="141" t="s">
        <v>79</v>
      </c>
      <c r="N133" s="142"/>
      <c r="O133" s="141" t="s">
        <v>80</v>
      </c>
      <c r="P133" s="142"/>
      <c r="Q133" s="141" t="s">
        <v>81</v>
      </c>
      <c r="R133" s="142"/>
      <c r="T133" s="137" t="s">
        <v>77</v>
      </c>
      <c r="U133" s="137" t="s">
        <v>78</v>
      </c>
    </row>
    <row r="134" spans="1:21" x14ac:dyDescent="0.45">
      <c r="A134" s="64"/>
      <c r="B134" s="90"/>
      <c r="C134" s="133" t="s">
        <v>82</v>
      </c>
      <c r="D134" s="132" t="s">
        <v>83</v>
      </c>
      <c r="E134" s="133" t="s">
        <v>82</v>
      </c>
      <c r="F134" s="132" t="s">
        <v>83</v>
      </c>
      <c r="G134" s="133" t="s">
        <v>82</v>
      </c>
      <c r="H134" s="132" t="s">
        <v>83</v>
      </c>
      <c r="I134" s="133" t="s">
        <v>82</v>
      </c>
      <c r="J134" s="132" t="s">
        <v>83</v>
      </c>
      <c r="K134" s="133" t="s">
        <v>82</v>
      </c>
      <c r="L134" s="132" t="s">
        <v>83</v>
      </c>
      <c r="M134" s="133" t="s">
        <v>82</v>
      </c>
      <c r="N134" s="132" t="s">
        <v>83</v>
      </c>
      <c r="O134" s="133" t="s">
        <v>82</v>
      </c>
      <c r="P134" s="132" t="s">
        <v>83</v>
      </c>
      <c r="Q134" s="133" t="s">
        <v>82</v>
      </c>
      <c r="R134" s="132" t="s">
        <v>83</v>
      </c>
      <c r="T134" s="137"/>
      <c r="U134" s="137"/>
    </row>
    <row r="135" spans="1:21" x14ac:dyDescent="0.45">
      <c r="A135" s="139" t="s">
        <v>10</v>
      </c>
      <c r="B135" s="91" t="s">
        <v>11</v>
      </c>
      <c r="C135" s="78"/>
      <c r="D135" s="79"/>
      <c r="E135" s="78"/>
      <c r="F135" s="79"/>
      <c r="G135" s="52"/>
      <c r="H135" s="41"/>
      <c r="I135" s="78"/>
      <c r="J135" s="79"/>
      <c r="K135" s="78"/>
      <c r="L135" s="79"/>
      <c r="M135" s="78"/>
      <c r="N135" s="79"/>
      <c r="O135" s="52"/>
      <c r="P135" s="41"/>
      <c r="Q135" s="52"/>
      <c r="R135" s="41"/>
      <c r="T135" s="45" t="str">
        <f t="shared" ref="T135:T149" si="28">IF(I135&lt;&gt;0,ROUNDUP(D6*0.1,0),"")</f>
        <v/>
      </c>
      <c r="U135" s="73" t="str">
        <f t="shared" ref="U135:U149" si="29">IF(K135&lt;&gt;0,IF(T135&lt;&gt;"",T135+ROUNDUP(D6*0.05,0),ROUNDUP(D6*0.05,0)),"")</f>
        <v/>
      </c>
    </row>
    <row r="136" spans="1:21" x14ac:dyDescent="0.45">
      <c r="A136" s="139"/>
      <c r="B136" s="91" t="s">
        <v>24</v>
      </c>
      <c r="C136" s="45"/>
      <c r="D136" s="43"/>
      <c r="E136" s="45"/>
      <c r="F136" s="43"/>
      <c r="G136" s="45"/>
      <c r="H136" s="43"/>
      <c r="I136" s="45"/>
      <c r="J136" s="43"/>
      <c r="K136" s="45"/>
      <c r="L136" s="43"/>
      <c r="M136" s="45"/>
      <c r="N136" s="43"/>
      <c r="O136" s="45"/>
      <c r="P136" s="43"/>
      <c r="Q136" s="45"/>
      <c r="R136" s="43"/>
      <c r="T136" s="45" t="str">
        <f t="shared" si="28"/>
        <v/>
      </c>
      <c r="U136" s="73" t="str">
        <f t="shared" si="29"/>
        <v/>
      </c>
    </row>
    <row r="137" spans="1:21" x14ac:dyDescent="0.45">
      <c r="A137" s="139"/>
      <c r="B137" s="91" t="s">
        <v>29</v>
      </c>
      <c r="C137" s="45"/>
      <c r="D137" s="43"/>
      <c r="E137" s="45"/>
      <c r="F137" s="43"/>
      <c r="G137" s="45"/>
      <c r="H137" s="43"/>
      <c r="I137" s="45"/>
      <c r="J137" s="43"/>
      <c r="K137" s="45"/>
      <c r="L137" s="43"/>
      <c r="M137" s="45"/>
      <c r="N137" s="43"/>
      <c r="O137" s="45"/>
      <c r="P137" s="43"/>
      <c r="Q137" s="45"/>
      <c r="R137" s="43"/>
      <c r="T137" s="45" t="str">
        <f t="shared" si="28"/>
        <v/>
      </c>
      <c r="U137" s="73" t="str">
        <f t="shared" si="29"/>
        <v/>
      </c>
    </row>
    <row r="138" spans="1:21" x14ac:dyDescent="0.45">
      <c r="A138" s="139"/>
      <c r="B138" s="91" t="s">
        <v>31</v>
      </c>
      <c r="C138" s="45"/>
      <c r="D138" s="43"/>
      <c r="E138" s="45"/>
      <c r="F138" s="43"/>
      <c r="G138" s="45"/>
      <c r="H138" s="43"/>
      <c r="I138" s="45"/>
      <c r="J138" s="43"/>
      <c r="K138" s="45"/>
      <c r="L138" s="43"/>
      <c r="M138" s="45"/>
      <c r="N138" s="43"/>
      <c r="O138" s="45"/>
      <c r="P138" s="43"/>
      <c r="Q138" s="45"/>
      <c r="R138" s="43"/>
      <c r="T138" s="45" t="str">
        <f t="shared" si="28"/>
        <v/>
      </c>
      <c r="U138" s="73" t="str">
        <f t="shared" si="29"/>
        <v/>
      </c>
    </row>
    <row r="139" spans="1:21" x14ac:dyDescent="0.45">
      <c r="A139" s="139" t="s">
        <v>33</v>
      </c>
      <c r="B139" s="91" t="s">
        <v>34</v>
      </c>
      <c r="C139" s="45"/>
      <c r="D139" s="43"/>
      <c r="E139" s="45"/>
      <c r="F139" s="43"/>
      <c r="G139" s="45"/>
      <c r="H139" s="43"/>
      <c r="I139" s="45"/>
      <c r="J139" s="43"/>
      <c r="K139" s="45"/>
      <c r="L139" s="43"/>
      <c r="M139" s="45"/>
      <c r="N139" s="43"/>
      <c r="O139" s="45"/>
      <c r="P139" s="43"/>
      <c r="Q139" s="45"/>
      <c r="R139" s="43"/>
      <c r="T139" s="45" t="str">
        <f t="shared" si="28"/>
        <v/>
      </c>
      <c r="U139" s="73" t="str">
        <f t="shared" si="29"/>
        <v/>
      </c>
    </row>
    <row r="140" spans="1:21" x14ac:dyDescent="0.45">
      <c r="A140" s="139"/>
      <c r="B140" s="91" t="s">
        <v>36</v>
      </c>
      <c r="C140" s="65">
        <f>ROUND(U75/2,0)</f>
        <v>1</v>
      </c>
      <c r="D140" s="77">
        <f>U75-C140</f>
        <v>1</v>
      </c>
      <c r="E140" s="65">
        <f>ROUND(V75/2,0)</f>
        <v>1</v>
      </c>
      <c r="F140" s="77">
        <f>V75-E140</f>
        <v>0</v>
      </c>
      <c r="G140" s="45"/>
      <c r="H140" s="43"/>
      <c r="I140" s="65">
        <f>ROUND(X75/2,0)</f>
        <v>1</v>
      </c>
      <c r="J140" s="77">
        <f>X75-I140</f>
        <v>0</v>
      </c>
      <c r="K140" s="65">
        <f>ROUND(Y75/2,0)</f>
        <v>1</v>
      </c>
      <c r="L140" s="77">
        <f>Y75-K140</f>
        <v>0</v>
      </c>
      <c r="M140" s="65">
        <f>ROUND(Z75/2,0)</f>
        <v>1</v>
      </c>
      <c r="N140" s="77">
        <f>Z75-M140</f>
        <v>0</v>
      </c>
      <c r="O140" s="45"/>
      <c r="P140" s="43"/>
      <c r="Q140" s="45"/>
      <c r="R140" s="43"/>
      <c r="T140" s="80">
        <f t="shared" si="28"/>
        <v>2</v>
      </c>
      <c r="U140" s="97">
        <f t="shared" si="29"/>
        <v>3</v>
      </c>
    </row>
    <row r="141" spans="1:21" x14ac:dyDescent="0.45">
      <c r="A141" s="139"/>
      <c r="B141" s="91" t="s">
        <v>38</v>
      </c>
      <c r="C141" s="45"/>
      <c r="D141" s="43"/>
      <c r="E141" s="45"/>
      <c r="F141" s="43"/>
      <c r="G141" s="45"/>
      <c r="H141" s="43"/>
      <c r="I141" s="45"/>
      <c r="J141" s="43"/>
      <c r="K141" s="45"/>
      <c r="L141" s="43"/>
      <c r="M141" s="45"/>
      <c r="N141" s="43"/>
      <c r="O141" s="45"/>
      <c r="P141" s="43"/>
      <c r="Q141" s="45"/>
      <c r="R141" s="43"/>
      <c r="T141" s="45" t="str">
        <f t="shared" si="28"/>
        <v/>
      </c>
      <c r="U141" s="73" t="str">
        <f t="shared" si="29"/>
        <v/>
      </c>
    </row>
    <row r="142" spans="1:21" x14ac:dyDescent="0.45">
      <c r="A142" s="139"/>
      <c r="B142" s="91" t="s">
        <v>40</v>
      </c>
      <c r="C142" s="65">
        <f>ROUND(U77/2,0)</f>
        <v>1</v>
      </c>
      <c r="D142" s="77">
        <f>U77-C142</f>
        <v>1</v>
      </c>
      <c r="E142" s="65">
        <f>ROUND(V77/2,0)</f>
        <v>1</v>
      </c>
      <c r="F142" s="77">
        <f>V77-E142</f>
        <v>0</v>
      </c>
      <c r="G142" s="45"/>
      <c r="H142" s="43"/>
      <c r="I142" s="65">
        <f>ROUND(X77/2,0)</f>
        <v>1</v>
      </c>
      <c r="J142" s="77">
        <f>X77-I142</f>
        <v>0</v>
      </c>
      <c r="K142" s="65">
        <f>ROUND(Y77/2,0)</f>
        <v>1</v>
      </c>
      <c r="L142" s="77">
        <f>Y77-K142</f>
        <v>0</v>
      </c>
      <c r="M142" s="65">
        <f>ROUND(Z77/2,0)</f>
        <v>1</v>
      </c>
      <c r="N142" s="77">
        <f>Z77-M142</f>
        <v>0</v>
      </c>
      <c r="O142" s="45"/>
      <c r="P142" s="43"/>
      <c r="Q142" s="45"/>
      <c r="R142" s="43"/>
      <c r="T142" s="80">
        <f t="shared" si="28"/>
        <v>2</v>
      </c>
      <c r="U142" s="97">
        <f t="shared" si="29"/>
        <v>3</v>
      </c>
    </row>
    <row r="143" spans="1:21" x14ac:dyDescent="0.45">
      <c r="A143" s="14" t="s">
        <v>41</v>
      </c>
      <c r="B143" s="91" t="s">
        <v>42</v>
      </c>
      <c r="C143" s="45"/>
      <c r="D143" s="43"/>
      <c r="E143" s="45"/>
      <c r="F143" s="43"/>
      <c r="G143" s="45"/>
      <c r="H143" s="43"/>
      <c r="I143" s="45"/>
      <c r="J143" s="43"/>
      <c r="K143" s="45"/>
      <c r="L143" s="43"/>
      <c r="M143" s="45"/>
      <c r="N143" s="43"/>
      <c r="O143" s="45"/>
      <c r="P143" s="43"/>
      <c r="Q143" s="45"/>
      <c r="R143" s="43"/>
      <c r="T143" s="45" t="str">
        <f t="shared" si="28"/>
        <v/>
      </c>
      <c r="U143" s="73" t="str">
        <f t="shared" si="29"/>
        <v/>
      </c>
    </row>
    <row r="144" spans="1:21" x14ac:dyDescent="0.45">
      <c r="A144" s="139" t="s">
        <v>45</v>
      </c>
      <c r="B144" s="91" t="s">
        <v>46</v>
      </c>
      <c r="C144" s="45"/>
      <c r="D144" s="43"/>
      <c r="E144" s="45"/>
      <c r="F144" s="43"/>
      <c r="G144" s="45"/>
      <c r="H144" s="43"/>
      <c r="I144" s="45"/>
      <c r="J144" s="43"/>
      <c r="K144" s="45"/>
      <c r="L144" s="43"/>
      <c r="M144" s="45"/>
      <c r="N144" s="43"/>
      <c r="O144" s="45"/>
      <c r="P144" s="43"/>
      <c r="Q144" s="45"/>
      <c r="R144" s="43"/>
      <c r="T144" s="45" t="str">
        <f t="shared" si="28"/>
        <v/>
      </c>
      <c r="U144" s="73" t="str">
        <f t="shared" si="29"/>
        <v/>
      </c>
    </row>
    <row r="145" spans="1:21" x14ac:dyDescent="0.45">
      <c r="A145" s="139"/>
      <c r="B145" s="91" t="s">
        <v>48</v>
      </c>
      <c r="C145" s="45"/>
      <c r="D145" s="43"/>
      <c r="E145" s="45"/>
      <c r="F145" s="43"/>
      <c r="G145" s="45"/>
      <c r="H145" s="43"/>
      <c r="I145" s="45"/>
      <c r="J145" s="43"/>
      <c r="K145" s="45"/>
      <c r="L145" s="43"/>
      <c r="M145" s="45"/>
      <c r="N145" s="43"/>
      <c r="O145" s="45"/>
      <c r="P145" s="43"/>
      <c r="Q145" s="45"/>
      <c r="R145" s="43"/>
      <c r="T145" s="45" t="str">
        <f t="shared" si="28"/>
        <v/>
      </c>
      <c r="U145" s="73" t="str">
        <f t="shared" si="29"/>
        <v/>
      </c>
    </row>
    <row r="146" spans="1:21" x14ac:dyDescent="0.45">
      <c r="A146" s="139"/>
      <c r="B146" s="91" t="s">
        <v>49</v>
      </c>
      <c r="C146" s="45"/>
      <c r="D146" s="43"/>
      <c r="E146" s="45"/>
      <c r="F146" s="43"/>
      <c r="G146" s="45"/>
      <c r="H146" s="43"/>
      <c r="I146" s="45"/>
      <c r="J146" s="43"/>
      <c r="K146" s="45"/>
      <c r="L146" s="43"/>
      <c r="M146" s="45"/>
      <c r="N146" s="43"/>
      <c r="O146" s="45"/>
      <c r="P146" s="43"/>
      <c r="Q146" s="45"/>
      <c r="R146" s="43"/>
      <c r="T146" s="45" t="str">
        <f t="shared" si="28"/>
        <v/>
      </c>
      <c r="U146" s="73" t="str">
        <f t="shared" si="29"/>
        <v/>
      </c>
    </row>
    <row r="147" spans="1:21" x14ac:dyDescent="0.45">
      <c r="A147" s="139"/>
      <c r="B147" s="91" t="s">
        <v>50</v>
      </c>
      <c r="C147" s="45"/>
      <c r="D147" s="43"/>
      <c r="E147" s="45"/>
      <c r="F147" s="43"/>
      <c r="G147" s="45"/>
      <c r="H147" s="43"/>
      <c r="I147" s="45"/>
      <c r="J147" s="43"/>
      <c r="K147" s="45"/>
      <c r="L147" s="43"/>
      <c r="M147" s="45"/>
      <c r="N147" s="43"/>
      <c r="O147" s="45"/>
      <c r="P147" s="43"/>
      <c r="Q147" s="45"/>
      <c r="R147" s="43"/>
      <c r="T147" s="45" t="str">
        <f t="shared" si="28"/>
        <v/>
      </c>
      <c r="U147" s="73" t="str">
        <f t="shared" si="29"/>
        <v/>
      </c>
    </row>
    <row r="148" spans="1:21" x14ac:dyDescent="0.45">
      <c r="A148" s="139" t="s">
        <v>51</v>
      </c>
      <c r="B148" s="91" t="s">
        <v>52</v>
      </c>
      <c r="C148" s="65">
        <f>ROUND(U83/2,0)</f>
        <v>2</v>
      </c>
      <c r="D148" s="77">
        <f>U83-C148</f>
        <v>2</v>
      </c>
      <c r="E148" s="65">
        <f>ROUND(V83/2,0)</f>
        <v>1</v>
      </c>
      <c r="F148" s="77">
        <f>V83-E148</f>
        <v>0</v>
      </c>
      <c r="G148" s="45"/>
      <c r="H148" s="43"/>
      <c r="I148" s="65">
        <f>ROUND(X83/2,0)</f>
        <v>1</v>
      </c>
      <c r="J148" s="77">
        <f>X83-I148</f>
        <v>1</v>
      </c>
      <c r="K148" s="45"/>
      <c r="L148" s="43"/>
      <c r="M148" s="65">
        <f>ROUND(Z83/2,0)</f>
        <v>1</v>
      </c>
      <c r="N148" s="77">
        <f>Z83-M148</f>
        <v>0</v>
      </c>
      <c r="O148" s="45"/>
      <c r="P148" s="43"/>
      <c r="Q148" s="45"/>
      <c r="R148" s="43"/>
      <c r="T148" s="80">
        <f t="shared" si="28"/>
        <v>2</v>
      </c>
      <c r="U148" s="73" t="str">
        <f t="shared" si="29"/>
        <v/>
      </c>
    </row>
    <row r="149" spans="1:21" ht="14.65" thickBot="1" x14ac:dyDescent="0.5">
      <c r="A149" s="140"/>
      <c r="B149" s="92" t="s">
        <v>53</v>
      </c>
      <c r="C149" s="84">
        <f>ROUND(U84/2,0)</f>
        <v>2</v>
      </c>
      <c r="D149" s="85">
        <f>U84-C149</f>
        <v>2</v>
      </c>
      <c r="E149" s="61"/>
      <c r="F149" s="48"/>
      <c r="G149" s="61"/>
      <c r="H149" s="48"/>
      <c r="I149" s="61"/>
      <c r="J149" s="71"/>
      <c r="K149" s="61"/>
      <c r="L149" s="71"/>
      <c r="M149" s="61"/>
      <c r="N149" s="71"/>
      <c r="O149" s="61"/>
      <c r="P149" s="48"/>
      <c r="Q149" s="61"/>
      <c r="R149" s="48"/>
      <c r="T149" s="45" t="str">
        <f t="shared" si="28"/>
        <v/>
      </c>
      <c r="U149" s="73" t="str">
        <f t="shared" si="29"/>
        <v/>
      </c>
    </row>
    <row r="151" spans="1:21" ht="14.65" thickBot="1" x14ac:dyDescent="0.5">
      <c r="C151" s="145" t="s">
        <v>58</v>
      </c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</row>
    <row r="152" spans="1:21" x14ac:dyDescent="0.45">
      <c r="A152" s="9" t="s">
        <v>3</v>
      </c>
      <c r="B152" s="89" t="s">
        <v>4</v>
      </c>
      <c r="C152" s="141" t="s">
        <v>62</v>
      </c>
      <c r="D152" s="142"/>
      <c r="E152" s="137" t="s">
        <v>75</v>
      </c>
      <c r="F152" s="137"/>
      <c r="G152" s="143" t="s">
        <v>76</v>
      </c>
      <c r="H152" s="144"/>
      <c r="I152" s="141" t="s">
        <v>77</v>
      </c>
      <c r="J152" s="142"/>
      <c r="K152" s="141" t="s">
        <v>78</v>
      </c>
      <c r="L152" s="142"/>
      <c r="M152" s="141" t="s">
        <v>79</v>
      </c>
      <c r="N152" s="142"/>
      <c r="O152" s="141" t="s">
        <v>80</v>
      </c>
      <c r="P152" s="142"/>
      <c r="Q152" s="141" t="s">
        <v>81</v>
      </c>
      <c r="R152" s="142"/>
      <c r="T152" s="137" t="s">
        <v>77</v>
      </c>
      <c r="U152" s="137" t="s">
        <v>78</v>
      </c>
    </row>
    <row r="153" spans="1:21" x14ac:dyDescent="0.45">
      <c r="A153" s="64"/>
      <c r="B153" s="90"/>
      <c r="C153" s="133" t="s">
        <v>82</v>
      </c>
      <c r="D153" s="132" t="s">
        <v>83</v>
      </c>
      <c r="E153" s="133" t="s">
        <v>82</v>
      </c>
      <c r="F153" s="132" t="s">
        <v>83</v>
      </c>
      <c r="G153" s="133" t="s">
        <v>82</v>
      </c>
      <c r="H153" s="132" t="s">
        <v>83</v>
      </c>
      <c r="I153" s="133" t="s">
        <v>82</v>
      </c>
      <c r="J153" s="132" t="s">
        <v>83</v>
      </c>
      <c r="K153" s="133" t="s">
        <v>82</v>
      </c>
      <c r="L153" s="132" t="s">
        <v>83</v>
      </c>
      <c r="M153" s="133" t="s">
        <v>82</v>
      </c>
      <c r="N153" s="132" t="s">
        <v>83</v>
      </c>
      <c r="O153" s="133" t="s">
        <v>82</v>
      </c>
      <c r="P153" s="132" t="s">
        <v>83</v>
      </c>
      <c r="Q153" s="133" t="s">
        <v>82</v>
      </c>
      <c r="R153" s="132" t="s">
        <v>83</v>
      </c>
      <c r="T153" s="137"/>
      <c r="U153" s="137"/>
    </row>
    <row r="154" spans="1:21" x14ac:dyDescent="0.45">
      <c r="A154" s="139" t="s">
        <v>10</v>
      </c>
      <c r="B154" s="91" t="s">
        <v>11</v>
      </c>
      <c r="C154" s="78"/>
      <c r="D154" s="79"/>
      <c r="E154" s="78"/>
      <c r="F154" s="79"/>
      <c r="G154" s="52"/>
      <c r="H154" s="41"/>
      <c r="I154" s="78"/>
      <c r="J154" s="79"/>
      <c r="K154" s="78"/>
      <c r="L154" s="79"/>
      <c r="M154" s="78"/>
      <c r="N154" s="79"/>
      <c r="O154" s="52"/>
      <c r="P154" s="41"/>
      <c r="Q154" s="52"/>
      <c r="R154" s="41"/>
      <c r="T154" s="45" t="str">
        <f t="shared" ref="T154:T168" si="30">IF(I154&lt;&gt;0,ROUNDUP(D6*0.05,0),"")</f>
        <v/>
      </c>
      <c r="U154" s="45" t="str">
        <f t="shared" ref="U154:U168" si="31">IF(K154&lt;&gt;0,IF(T154&lt;&gt;"",T154+ROUNDUP(D6*0.05,0),ROUNDUP(D6*0.05,0)),"")</f>
        <v/>
      </c>
    </row>
    <row r="155" spans="1:21" x14ac:dyDescent="0.45">
      <c r="A155" s="139"/>
      <c r="B155" s="91" t="s">
        <v>24</v>
      </c>
      <c r="C155" s="45"/>
      <c r="D155" s="43"/>
      <c r="E155" s="45"/>
      <c r="F155" s="43"/>
      <c r="G155" s="45"/>
      <c r="H155" s="43"/>
      <c r="I155" s="45"/>
      <c r="J155" s="43"/>
      <c r="K155" s="45"/>
      <c r="L155" s="43"/>
      <c r="M155" s="45"/>
      <c r="N155" s="43"/>
      <c r="O155" s="45"/>
      <c r="P155" s="43"/>
      <c r="Q155" s="45"/>
      <c r="R155" s="43"/>
      <c r="T155" s="45" t="str">
        <f t="shared" si="30"/>
        <v/>
      </c>
      <c r="U155" s="45" t="str">
        <f t="shared" si="31"/>
        <v/>
      </c>
    </row>
    <row r="156" spans="1:21" x14ac:dyDescent="0.45">
      <c r="A156" s="139"/>
      <c r="B156" s="91" t="s">
        <v>29</v>
      </c>
      <c r="C156" s="45"/>
      <c r="D156" s="43"/>
      <c r="E156" s="45"/>
      <c r="F156" s="43"/>
      <c r="G156" s="45"/>
      <c r="H156" s="43"/>
      <c r="I156" s="45"/>
      <c r="J156" s="43"/>
      <c r="K156" s="45"/>
      <c r="L156" s="43"/>
      <c r="M156" s="45"/>
      <c r="N156" s="43"/>
      <c r="O156" s="45"/>
      <c r="P156" s="43"/>
      <c r="Q156" s="45"/>
      <c r="R156" s="43"/>
      <c r="T156" s="45" t="str">
        <f t="shared" si="30"/>
        <v/>
      </c>
      <c r="U156" s="45" t="str">
        <f t="shared" si="31"/>
        <v/>
      </c>
    </row>
    <row r="157" spans="1:21" x14ac:dyDescent="0.45">
      <c r="A157" s="139"/>
      <c r="B157" s="91" t="s">
        <v>31</v>
      </c>
      <c r="C157" s="45"/>
      <c r="D157" s="43"/>
      <c r="E157" s="45"/>
      <c r="F157" s="43"/>
      <c r="G157" s="45"/>
      <c r="H157" s="43"/>
      <c r="I157" s="45"/>
      <c r="J157" s="43"/>
      <c r="K157" s="45"/>
      <c r="L157" s="43"/>
      <c r="M157" s="45"/>
      <c r="N157" s="43"/>
      <c r="O157" s="45"/>
      <c r="P157" s="43"/>
      <c r="Q157" s="45"/>
      <c r="R157" s="43"/>
      <c r="T157" s="45" t="str">
        <f t="shared" si="30"/>
        <v/>
      </c>
      <c r="U157" s="45" t="str">
        <f t="shared" si="31"/>
        <v/>
      </c>
    </row>
    <row r="158" spans="1:21" x14ac:dyDescent="0.45">
      <c r="A158" s="139" t="s">
        <v>33</v>
      </c>
      <c r="B158" s="91" t="s">
        <v>34</v>
      </c>
      <c r="C158" s="45"/>
      <c r="D158" s="43"/>
      <c r="E158" s="45"/>
      <c r="F158" s="43"/>
      <c r="G158" s="45"/>
      <c r="H158" s="43"/>
      <c r="I158" s="45"/>
      <c r="J158" s="43"/>
      <c r="K158" s="45"/>
      <c r="L158" s="43"/>
      <c r="M158" s="45"/>
      <c r="N158" s="43"/>
      <c r="O158" s="45"/>
      <c r="P158" s="43"/>
      <c r="Q158" s="45"/>
      <c r="R158" s="43"/>
      <c r="T158" s="45" t="str">
        <f t="shared" si="30"/>
        <v/>
      </c>
      <c r="U158" s="45" t="str">
        <f t="shared" si="31"/>
        <v/>
      </c>
    </row>
    <row r="159" spans="1:21" x14ac:dyDescent="0.45">
      <c r="A159" s="139"/>
      <c r="B159" s="91" t="s">
        <v>36</v>
      </c>
      <c r="C159" s="45"/>
      <c r="D159" s="43"/>
      <c r="E159" s="45"/>
      <c r="F159" s="43"/>
      <c r="G159" s="45"/>
      <c r="H159" s="43"/>
      <c r="I159" s="45"/>
      <c r="J159" s="43"/>
      <c r="K159" s="45"/>
      <c r="L159" s="43"/>
      <c r="M159" s="45"/>
      <c r="N159" s="43"/>
      <c r="O159" s="45"/>
      <c r="P159" s="43"/>
      <c r="Q159" s="45"/>
      <c r="R159" s="43"/>
      <c r="T159" s="45" t="str">
        <f t="shared" si="30"/>
        <v/>
      </c>
      <c r="U159" s="45" t="str">
        <f t="shared" si="31"/>
        <v/>
      </c>
    </row>
    <row r="160" spans="1:21" x14ac:dyDescent="0.45">
      <c r="A160" s="139"/>
      <c r="B160" s="91" t="s">
        <v>38</v>
      </c>
      <c r="C160" s="45"/>
      <c r="D160" s="43"/>
      <c r="E160" s="45"/>
      <c r="F160" s="43"/>
      <c r="G160" s="45"/>
      <c r="H160" s="43"/>
      <c r="I160" s="45"/>
      <c r="J160" s="43"/>
      <c r="K160" s="45"/>
      <c r="L160" s="43"/>
      <c r="M160" s="45"/>
      <c r="N160" s="43"/>
      <c r="O160" s="45"/>
      <c r="P160" s="43"/>
      <c r="Q160" s="45"/>
      <c r="R160" s="43"/>
      <c r="T160" s="45" t="str">
        <f t="shared" si="30"/>
        <v/>
      </c>
      <c r="U160" s="45" t="str">
        <f t="shared" si="31"/>
        <v/>
      </c>
    </row>
    <row r="161" spans="1:21" x14ac:dyDescent="0.45">
      <c r="A161" s="139"/>
      <c r="B161" s="91" t="s">
        <v>40</v>
      </c>
      <c r="C161" s="65">
        <f>ROUND(AD77/2,0)</f>
        <v>1</v>
      </c>
      <c r="D161" s="77">
        <f>AD77-C161</f>
        <v>0</v>
      </c>
      <c r="E161" s="65">
        <f>ROUND(AE77/2,0)</f>
        <v>1</v>
      </c>
      <c r="F161" s="77">
        <f>AE77-E161</f>
        <v>0</v>
      </c>
      <c r="G161" s="45"/>
      <c r="H161" s="43"/>
      <c r="I161" s="65">
        <f>ROUND(AG77/2,0)</f>
        <v>1</v>
      </c>
      <c r="J161" s="77">
        <f>AG77-I161</f>
        <v>0</v>
      </c>
      <c r="K161" s="65">
        <f>ROUND(AH77/2,0)</f>
        <v>1</v>
      </c>
      <c r="L161" s="77">
        <f>AH77-K161</f>
        <v>0</v>
      </c>
      <c r="M161" s="65">
        <f>ROUND(AI77/2,0)</f>
        <v>1</v>
      </c>
      <c r="N161" s="77">
        <f>AI77-M161</f>
        <v>0</v>
      </c>
      <c r="O161" s="45"/>
      <c r="P161" s="43"/>
      <c r="Q161" s="45"/>
      <c r="R161" s="43"/>
      <c r="T161" s="80">
        <f t="shared" si="30"/>
        <v>1</v>
      </c>
      <c r="U161" s="97">
        <f t="shared" si="31"/>
        <v>2</v>
      </c>
    </row>
    <row r="162" spans="1:21" x14ac:dyDescent="0.45">
      <c r="A162" s="14" t="s">
        <v>41</v>
      </c>
      <c r="B162" s="91" t="s">
        <v>42</v>
      </c>
      <c r="C162" s="45"/>
      <c r="D162" s="43"/>
      <c r="E162" s="45"/>
      <c r="F162" s="43"/>
      <c r="G162" s="45"/>
      <c r="H162" s="43"/>
      <c r="I162" s="45"/>
      <c r="J162" s="43"/>
      <c r="K162" s="45"/>
      <c r="L162" s="43"/>
      <c r="M162" s="45"/>
      <c r="N162" s="43"/>
      <c r="O162" s="45"/>
      <c r="P162" s="43"/>
      <c r="Q162" s="45"/>
      <c r="R162" s="43"/>
      <c r="T162" s="45" t="str">
        <f t="shared" si="30"/>
        <v/>
      </c>
      <c r="U162" s="45" t="str">
        <f t="shared" si="31"/>
        <v/>
      </c>
    </row>
    <row r="163" spans="1:21" x14ac:dyDescent="0.45">
      <c r="A163" s="139" t="s">
        <v>45</v>
      </c>
      <c r="B163" s="91" t="s">
        <v>46</v>
      </c>
      <c r="C163" s="65">
        <f t="shared" ref="C163:C168" si="32">ROUND(AD79/2,0)</f>
        <v>1</v>
      </c>
      <c r="D163" s="77">
        <f t="shared" ref="D163:D168" si="33">AD79-C163</f>
        <v>0</v>
      </c>
      <c r="E163" s="65">
        <f>ROUND(AE79/2,0)</f>
        <v>1</v>
      </c>
      <c r="F163" s="77">
        <f>AE79-E163</f>
        <v>0</v>
      </c>
      <c r="G163" s="45"/>
      <c r="H163" s="43"/>
      <c r="I163" s="65">
        <f>ROUND(AG79/2,0)</f>
        <v>1</v>
      </c>
      <c r="J163" s="77">
        <f>AG79-I163</f>
        <v>0</v>
      </c>
      <c r="K163" s="45"/>
      <c r="L163" s="43"/>
      <c r="M163" s="65">
        <f>ROUND(AI79/2,0)</f>
        <v>1</v>
      </c>
      <c r="N163" s="77">
        <f>AI79-M163</f>
        <v>0</v>
      </c>
      <c r="O163" s="45"/>
      <c r="P163" s="43"/>
      <c r="Q163" s="45"/>
      <c r="R163" s="43"/>
      <c r="T163" s="80">
        <f t="shared" si="30"/>
        <v>1</v>
      </c>
      <c r="U163" s="45" t="str">
        <f t="shared" si="31"/>
        <v/>
      </c>
    </row>
    <row r="164" spans="1:21" x14ac:dyDescent="0.45">
      <c r="A164" s="139"/>
      <c r="B164" s="91" t="s">
        <v>48</v>
      </c>
      <c r="C164" s="65">
        <f t="shared" si="32"/>
        <v>1</v>
      </c>
      <c r="D164" s="77">
        <f t="shared" si="33"/>
        <v>1</v>
      </c>
      <c r="E164" s="65">
        <f>ROUND(AE80/2,0)</f>
        <v>1</v>
      </c>
      <c r="F164" s="77">
        <f>AE80-E164</f>
        <v>0</v>
      </c>
      <c r="G164" s="45"/>
      <c r="H164" s="43"/>
      <c r="I164" s="65">
        <f>ROUND(AG80/2,0)</f>
        <v>1</v>
      </c>
      <c r="J164" s="77">
        <f>AG80-I164</f>
        <v>0</v>
      </c>
      <c r="K164" s="45"/>
      <c r="L164" s="43"/>
      <c r="M164" s="65">
        <f>ROUND(AI80/2,0)</f>
        <v>1</v>
      </c>
      <c r="N164" s="77">
        <f>AI80-M164</f>
        <v>0</v>
      </c>
      <c r="O164" s="45"/>
      <c r="P164" s="43"/>
      <c r="Q164" s="45"/>
      <c r="R164" s="43"/>
      <c r="T164" s="80">
        <f t="shared" si="30"/>
        <v>2</v>
      </c>
      <c r="U164" s="45" t="str">
        <f t="shared" si="31"/>
        <v/>
      </c>
    </row>
    <row r="165" spans="1:21" x14ac:dyDescent="0.45">
      <c r="A165" s="139"/>
      <c r="B165" s="91" t="s">
        <v>49</v>
      </c>
      <c r="C165" s="65">
        <f t="shared" si="32"/>
        <v>1</v>
      </c>
      <c r="D165" s="77">
        <f t="shared" si="33"/>
        <v>1</v>
      </c>
      <c r="E165" s="65">
        <f>ROUND(AE81/2,0)</f>
        <v>1</v>
      </c>
      <c r="F165" s="77">
        <f>AE81-E165</f>
        <v>0</v>
      </c>
      <c r="G165" s="45"/>
      <c r="H165" s="43"/>
      <c r="I165" s="65">
        <f>ROUND(AG81/2,0)</f>
        <v>1</v>
      </c>
      <c r="J165" s="77">
        <f>AG81-I165</f>
        <v>0</v>
      </c>
      <c r="K165" s="45"/>
      <c r="L165" s="43"/>
      <c r="M165" s="65">
        <f>ROUND(AI81/2,0)</f>
        <v>1</v>
      </c>
      <c r="N165" s="77">
        <f>AI81-M165</f>
        <v>0</v>
      </c>
      <c r="O165" s="45"/>
      <c r="P165" s="43"/>
      <c r="Q165" s="45"/>
      <c r="R165" s="43"/>
      <c r="T165" s="80">
        <f t="shared" si="30"/>
        <v>3</v>
      </c>
      <c r="U165" s="45" t="str">
        <f t="shared" si="31"/>
        <v/>
      </c>
    </row>
    <row r="166" spans="1:21" x14ac:dyDescent="0.45">
      <c r="A166" s="139"/>
      <c r="B166" s="91" t="s">
        <v>50</v>
      </c>
      <c r="C166" s="65">
        <f t="shared" si="32"/>
        <v>1</v>
      </c>
      <c r="D166" s="77">
        <f t="shared" si="33"/>
        <v>1</v>
      </c>
      <c r="E166" s="65">
        <f>ROUND(AE82/2,0)</f>
        <v>1</v>
      </c>
      <c r="F166" s="77">
        <f>AE82-E166</f>
        <v>0</v>
      </c>
      <c r="G166" s="45"/>
      <c r="H166" s="43"/>
      <c r="I166" s="65">
        <f>ROUND(AG82/2,0)</f>
        <v>1</v>
      </c>
      <c r="J166" s="77">
        <f>AG82-I166</f>
        <v>0</v>
      </c>
      <c r="K166" s="45"/>
      <c r="L166" s="43"/>
      <c r="M166" s="65">
        <f>ROUND(AI82/2,0)</f>
        <v>1</v>
      </c>
      <c r="N166" s="77">
        <f>AI82-M166</f>
        <v>0</v>
      </c>
      <c r="O166" s="45"/>
      <c r="P166" s="43"/>
      <c r="Q166" s="45"/>
      <c r="R166" s="43"/>
      <c r="T166" s="80">
        <f t="shared" si="30"/>
        <v>3</v>
      </c>
      <c r="U166" s="45" t="str">
        <f t="shared" si="31"/>
        <v/>
      </c>
    </row>
    <row r="167" spans="1:21" x14ac:dyDescent="0.45">
      <c r="A167" s="139" t="s">
        <v>51</v>
      </c>
      <c r="B167" s="91" t="s">
        <v>52</v>
      </c>
      <c r="C167" s="65">
        <f t="shared" si="32"/>
        <v>1</v>
      </c>
      <c r="D167" s="77">
        <f t="shared" si="33"/>
        <v>1</v>
      </c>
      <c r="E167" s="65">
        <f>ROUND(AE83/2,0)</f>
        <v>1</v>
      </c>
      <c r="F167" s="77">
        <f>AE83-E167</f>
        <v>0</v>
      </c>
      <c r="G167" s="45"/>
      <c r="H167" s="43"/>
      <c r="I167" s="65">
        <f>ROUND(AG83/2,0)</f>
        <v>1</v>
      </c>
      <c r="J167" s="77">
        <f>AG83-I167</f>
        <v>0</v>
      </c>
      <c r="K167" s="45"/>
      <c r="L167" s="43"/>
      <c r="M167" s="65">
        <f>ROUND(AI83/2,0)</f>
        <v>1</v>
      </c>
      <c r="N167" s="77">
        <f>AI83-M167</f>
        <v>0</v>
      </c>
      <c r="O167" s="45"/>
      <c r="P167" s="43"/>
      <c r="Q167" s="45"/>
      <c r="R167" s="43"/>
      <c r="T167" s="80">
        <f t="shared" si="30"/>
        <v>1</v>
      </c>
      <c r="U167" s="45" t="str">
        <f t="shared" si="31"/>
        <v/>
      </c>
    </row>
    <row r="168" spans="1:21" ht="14.65" thickBot="1" x14ac:dyDescent="0.5">
      <c r="A168" s="140"/>
      <c r="B168" s="92" t="s">
        <v>53</v>
      </c>
      <c r="C168" s="84">
        <f t="shared" si="32"/>
        <v>1</v>
      </c>
      <c r="D168" s="85">
        <f t="shared" si="33"/>
        <v>0</v>
      </c>
      <c r="E168" s="61"/>
      <c r="F168" s="48"/>
      <c r="G168" s="61"/>
      <c r="H168" s="48"/>
      <c r="I168" s="61"/>
      <c r="J168" s="71"/>
      <c r="K168" s="61"/>
      <c r="L168" s="71"/>
      <c r="M168" s="61"/>
      <c r="N168" s="71"/>
      <c r="O168" s="61"/>
      <c r="P168" s="48"/>
      <c r="Q168" s="61"/>
      <c r="R168" s="48"/>
      <c r="T168" s="45" t="str">
        <f t="shared" si="30"/>
        <v/>
      </c>
      <c r="U168" s="45" t="str">
        <f t="shared" si="31"/>
        <v/>
      </c>
    </row>
    <row r="170" spans="1:21" ht="14.65" thickBot="1" x14ac:dyDescent="0.5">
      <c r="C170" s="148" t="s">
        <v>59</v>
      </c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</row>
    <row r="171" spans="1:21" x14ac:dyDescent="0.45">
      <c r="A171" s="9" t="s">
        <v>3</v>
      </c>
      <c r="B171" s="89" t="s">
        <v>4</v>
      </c>
      <c r="C171" s="141" t="s">
        <v>62</v>
      </c>
      <c r="D171" s="142"/>
      <c r="E171" s="137" t="s">
        <v>75</v>
      </c>
      <c r="F171" s="137"/>
      <c r="G171" s="137" t="s">
        <v>76</v>
      </c>
      <c r="H171" s="137"/>
      <c r="I171" s="141" t="s">
        <v>77</v>
      </c>
      <c r="J171" s="142"/>
      <c r="K171" s="141" t="s">
        <v>78</v>
      </c>
      <c r="L171" s="142"/>
      <c r="M171" s="141" t="s">
        <v>79</v>
      </c>
      <c r="N171" s="142"/>
      <c r="O171" s="141" t="s">
        <v>80</v>
      </c>
      <c r="P171" s="142"/>
      <c r="Q171" s="141" t="s">
        <v>81</v>
      </c>
      <c r="R171" s="142"/>
      <c r="T171" s="137" t="s">
        <v>77</v>
      </c>
      <c r="U171" s="137" t="s">
        <v>78</v>
      </c>
    </row>
    <row r="172" spans="1:21" x14ac:dyDescent="0.45">
      <c r="A172" s="64"/>
      <c r="B172" s="90"/>
      <c r="C172" s="133" t="s">
        <v>82</v>
      </c>
      <c r="D172" s="132" t="s">
        <v>83</v>
      </c>
      <c r="E172" s="133" t="s">
        <v>82</v>
      </c>
      <c r="F172" s="132" t="s">
        <v>83</v>
      </c>
      <c r="G172" s="133" t="s">
        <v>82</v>
      </c>
      <c r="H172" s="132" t="s">
        <v>83</v>
      </c>
      <c r="I172" s="133" t="s">
        <v>82</v>
      </c>
      <c r="J172" s="132" t="s">
        <v>83</v>
      </c>
      <c r="K172" s="133" t="s">
        <v>82</v>
      </c>
      <c r="L172" s="132" t="s">
        <v>83</v>
      </c>
      <c r="M172" s="133" t="s">
        <v>82</v>
      </c>
      <c r="N172" s="132" t="s">
        <v>83</v>
      </c>
      <c r="O172" s="133" t="s">
        <v>82</v>
      </c>
      <c r="P172" s="132" t="s">
        <v>83</v>
      </c>
      <c r="Q172" s="133" t="s">
        <v>82</v>
      </c>
      <c r="R172" s="132" t="s">
        <v>83</v>
      </c>
      <c r="T172" s="137"/>
      <c r="U172" s="137"/>
    </row>
    <row r="173" spans="1:21" x14ac:dyDescent="0.45">
      <c r="A173" s="139" t="s">
        <v>10</v>
      </c>
      <c r="B173" s="91" t="s">
        <v>11</v>
      </c>
      <c r="C173" s="52"/>
      <c r="D173" s="41"/>
      <c r="E173" s="52"/>
      <c r="F173" s="41"/>
      <c r="G173" s="52"/>
      <c r="H173" s="41"/>
      <c r="I173" s="52"/>
      <c r="J173" s="83"/>
      <c r="K173" s="52"/>
      <c r="L173" s="41"/>
      <c r="M173" s="52"/>
      <c r="N173" s="41"/>
      <c r="O173" s="52"/>
      <c r="P173" s="41"/>
      <c r="Q173" s="52"/>
      <c r="R173" s="41"/>
      <c r="T173" s="45" t="str">
        <f t="shared" ref="T173:T187" si="34">IF(I173&lt;&gt;0,ROUNDUP(D6*0.05,0),"")</f>
        <v/>
      </c>
      <c r="U173" s="45" t="str">
        <f t="shared" ref="U173:U187" si="35">IF(K173&lt;&gt;0,IF(T173&lt;&gt;"",T173+ROUNDUP(D6*0.05,0),ROUNDUP(D6*0.05,0)),"")</f>
        <v/>
      </c>
    </row>
    <row r="174" spans="1:21" x14ac:dyDescent="0.45">
      <c r="A174" s="139"/>
      <c r="B174" s="91" t="s">
        <v>24</v>
      </c>
      <c r="C174" s="45"/>
      <c r="D174" s="43"/>
      <c r="E174" s="45"/>
      <c r="F174" s="43"/>
      <c r="G174" s="45"/>
      <c r="H174" s="43"/>
      <c r="I174" s="45"/>
      <c r="J174" s="73"/>
      <c r="K174" s="45"/>
      <c r="L174" s="43"/>
      <c r="M174" s="45"/>
      <c r="N174" s="43"/>
      <c r="O174" s="45"/>
      <c r="P174" s="43"/>
      <c r="Q174" s="45"/>
      <c r="R174" s="43"/>
      <c r="T174" s="45" t="str">
        <f t="shared" si="34"/>
        <v/>
      </c>
      <c r="U174" s="45" t="str">
        <f t="shared" si="35"/>
        <v/>
      </c>
    </row>
    <row r="175" spans="1:21" x14ac:dyDescent="0.45">
      <c r="A175" s="139"/>
      <c r="B175" s="91" t="s">
        <v>29</v>
      </c>
      <c r="C175" s="45"/>
      <c r="D175" s="43"/>
      <c r="E175" s="45"/>
      <c r="F175" s="43"/>
      <c r="G175" s="45"/>
      <c r="H175" s="43"/>
      <c r="I175" s="45"/>
      <c r="J175" s="73"/>
      <c r="K175" s="45"/>
      <c r="L175" s="43"/>
      <c r="M175" s="45"/>
      <c r="N175" s="43"/>
      <c r="O175" s="45"/>
      <c r="P175" s="43"/>
      <c r="Q175" s="45"/>
      <c r="R175" s="43"/>
      <c r="T175" s="45" t="str">
        <f t="shared" si="34"/>
        <v/>
      </c>
      <c r="U175" s="45" t="str">
        <f t="shared" si="35"/>
        <v/>
      </c>
    </row>
    <row r="176" spans="1:21" x14ac:dyDescent="0.45">
      <c r="A176" s="139"/>
      <c r="B176" s="91" t="s">
        <v>31</v>
      </c>
      <c r="C176" s="45"/>
      <c r="D176" s="43"/>
      <c r="E176" s="45"/>
      <c r="F176" s="43"/>
      <c r="G176" s="45"/>
      <c r="H176" s="43"/>
      <c r="I176" s="45"/>
      <c r="J176" s="73"/>
      <c r="K176" s="45"/>
      <c r="L176" s="43"/>
      <c r="M176" s="45"/>
      <c r="N176" s="43"/>
      <c r="O176" s="45"/>
      <c r="P176" s="43"/>
      <c r="Q176" s="45"/>
      <c r="R176" s="43"/>
      <c r="T176" s="45" t="str">
        <f t="shared" si="34"/>
        <v/>
      </c>
      <c r="U176" s="45" t="str">
        <f t="shared" si="35"/>
        <v/>
      </c>
    </row>
    <row r="177" spans="1:21" x14ac:dyDescent="0.45">
      <c r="A177" s="139" t="s">
        <v>33</v>
      </c>
      <c r="B177" s="91" t="s">
        <v>34</v>
      </c>
      <c r="C177" s="45"/>
      <c r="D177" s="43"/>
      <c r="E177" s="45"/>
      <c r="F177" s="43"/>
      <c r="G177" s="45"/>
      <c r="H177" s="43"/>
      <c r="I177" s="45"/>
      <c r="J177" s="73"/>
      <c r="K177" s="45"/>
      <c r="L177" s="43"/>
      <c r="M177" s="45"/>
      <c r="N177" s="43"/>
      <c r="O177" s="45"/>
      <c r="P177" s="43"/>
      <c r="Q177" s="45"/>
      <c r="R177" s="43"/>
      <c r="T177" s="45" t="str">
        <f t="shared" si="34"/>
        <v/>
      </c>
      <c r="U177" s="45" t="str">
        <f t="shared" si="35"/>
        <v/>
      </c>
    </row>
    <row r="178" spans="1:21" x14ac:dyDescent="0.45">
      <c r="A178" s="139"/>
      <c r="B178" s="91" t="s">
        <v>36</v>
      </c>
      <c r="C178" s="45"/>
      <c r="D178" s="43"/>
      <c r="E178" s="45"/>
      <c r="F178" s="43"/>
      <c r="G178" s="45"/>
      <c r="H178" s="43"/>
      <c r="I178" s="45"/>
      <c r="J178" s="73"/>
      <c r="K178" s="45"/>
      <c r="L178" s="43"/>
      <c r="M178" s="45"/>
      <c r="N178" s="43"/>
      <c r="O178" s="45"/>
      <c r="P178" s="43"/>
      <c r="Q178" s="45"/>
      <c r="R178" s="43"/>
      <c r="T178" s="45" t="str">
        <f t="shared" si="34"/>
        <v/>
      </c>
      <c r="U178" s="45" t="str">
        <f t="shared" si="35"/>
        <v/>
      </c>
    </row>
    <row r="179" spans="1:21" x14ac:dyDescent="0.45">
      <c r="A179" s="139"/>
      <c r="B179" s="91" t="s">
        <v>38</v>
      </c>
      <c r="C179" s="45"/>
      <c r="D179" s="43"/>
      <c r="E179" s="45"/>
      <c r="F179" s="43"/>
      <c r="G179" s="45"/>
      <c r="H179" s="43"/>
      <c r="I179" s="45"/>
      <c r="J179" s="73"/>
      <c r="K179" s="45"/>
      <c r="L179" s="43"/>
      <c r="M179" s="45"/>
      <c r="N179" s="43"/>
      <c r="O179" s="45"/>
      <c r="P179" s="43"/>
      <c r="Q179" s="45"/>
      <c r="R179" s="43"/>
      <c r="T179" s="45" t="str">
        <f t="shared" si="34"/>
        <v/>
      </c>
      <c r="U179" s="45" t="str">
        <f t="shared" si="35"/>
        <v/>
      </c>
    </row>
    <row r="180" spans="1:21" x14ac:dyDescent="0.45">
      <c r="A180" s="139"/>
      <c r="B180" s="91" t="s">
        <v>40</v>
      </c>
      <c r="C180" s="45"/>
      <c r="D180" s="43"/>
      <c r="E180" s="45"/>
      <c r="F180" s="43"/>
      <c r="G180" s="45"/>
      <c r="H180" s="43"/>
      <c r="I180" s="45"/>
      <c r="J180" s="73"/>
      <c r="K180" s="45"/>
      <c r="L180" s="43"/>
      <c r="M180" s="45"/>
      <c r="N180" s="43"/>
      <c r="O180" s="45"/>
      <c r="P180" s="43"/>
      <c r="Q180" s="45"/>
      <c r="R180" s="43"/>
      <c r="T180" s="45" t="str">
        <f t="shared" si="34"/>
        <v/>
      </c>
      <c r="U180" s="45" t="str">
        <f t="shared" si="35"/>
        <v/>
      </c>
    </row>
    <row r="181" spans="1:21" x14ac:dyDescent="0.45">
      <c r="A181" s="14" t="s">
        <v>41</v>
      </c>
      <c r="B181" s="91" t="s">
        <v>42</v>
      </c>
      <c r="C181" s="45"/>
      <c r="D181" s="43"/>
      <c r="E181" s="45"/>
      <c r="F181" s="43"/>
      <c r="G181" s="45"/>
      <c r="H181" s="43"/>
      <c r="I181" s="45"/>
      <c r="J181" s="73"/>
      <c r="K181" s="45"/>
      <c r="L181" s="43"/>
      <c r="M181" s="45"/>
      <c r="N181" s="43"/>
      <c r="O181" s="45"/>
      <c r="P181" s="43"/>
      <c r="Q181" s="45"/>
      <c r="R181" s="43"/>
      <c r="T181" s="45" t="str">
        <f t="shared" si="34"/>
        <v/>
      </c>
      <c r="U181" s="45" t="str">
        <f t="shared" si="35"/>
        <v/>
      </c>
    </row>
    <row r="182" spans="1:21" x14ac:dyDescent="0.45">
      <c r="A182" s="139" t="s">
        <v>45</v>
      </c>
      <c r="B182" s="91" t="s">
        <v>46</v>
      </c>
      <c r="C182" s="80">
        <f>AM79-D182</f>
        <v>2</v>
      </c>
      <c r="D182" s="58">
        <f>ROUND(AM79/2,0)</f>
        <v>3</v>
      </c>
      <c r="E182" s="80">
        <f>AN79-F182</f>
        <v>1</v>
      </c>
      <c r="F182" s="58">
        <f>ROUND(AN79/2,0)</f>
        <v>1</v>
      </c>
      <c r="G182" s="80">
        <f>AO79-H182</f>
        <v>1</v>
      </c>
      <c r="H182" s="58">
        <f>ROUND(AO79/2,0)</f>
        <v>2</v>
      </c>
      <c r="I182" s="80">
        <f>AP79-J182</f>
        <v>0</v>
      </c>
      <c r="J182" s="58">
        <f>ROUND(AP79/2,0)</f>
        <v>1</v>
      </c>
      <c r="K182" s="45"/>
      <c r="L182" s="43"/>
      <c r="M182" s="80">
        <f>AR79-N182</f>
        <v>1</v>
      </c>
      <c r="N182" s="58">
        <f>ROUND(AR79/2,0)</f>
        <v>1</v>
      </c>
      <c r="O182" s="80">
        <f>AS79-P182</f>
        <v>1</v>
      </c>
      <c r="P182" s="58">
        <f>ROUND(AS79/2,0)</f>
        <v>2</v>
      </c>
      <c r="Q182" s="45"/>
      <c r="R182" s="43"/>
      <c r="T182" s="80" t="str">
        <f t="shared" si="34"/>
        <v/>
      </c>
      <c r="U182" s="45" t="str">
        <f t="shared" si="35"/>
        <v/>
      </c>
    </row>
    <row r="183" spans="1:21" x14ac:dyDescent="0.45">
      <c r="A183" s="139"/>
      <c r="B183" s="91" t="s">
        <v>48</v>
      </c>
      <c r="C183" s="80">
        <f>AM80-D183</f>
        <v>4</v>
      </c>
      <c r="D183" s="58">
        <f>ROUND(AM80/2,0)</f>
        <v>4</v>
      </c>
      <c r="E183" s="80">
        <f>AN80-F183</f>
        <v>1</v>
      </c>
      <c r="F183" s="58">
        <f>ROUND(AN80/2,0)</f>
        <v>1</v>
      </c>
      <c r="G183" s="80">
        <f>AO80-H183</f>
        <v>2</v>
      </c>
      <c r="H183" s="58">
        <f>ROUND(AO80/2,0)</f>
        <v>2</v>
      </c>
      <c r="I183" s="80">
        <f>AP80-J183</f>
        <v>1</v>
      </c>
      <c r="J183" s="58">
        <f>ROUND(AP80/2,0)</f>
        <v>1</v>
      </c>
      <c r="K183" s="80">
        <f>AQ80-L183</f>
        <v>2</v>
      </c>
      <c r="L183" s="58">
        <f>ROUND(AQ80/2,0)</f>
        <v>2</v>
      </c>
      <c r="M183" s="80">
        <f>AR80-N183</f>
        <v>1</v>
      </c>
      <c r="N183" s="58">
        <f>ROUND(AR80/2,0)</f>
        <v>1</v>
      </c>
      <c r="O183" s="80">
        <f>AS80-P183</f>
        <v>2</v>
      </c>
      <c r="P183" s="58">
        <f>ROUND(AS80/2,0)</f>
        <v>2</v>
      </c>
      <c r="Q183" s="45"/>
      <c r="R183" s="43"/>
      <c r="T183" s="80">
        <f t="shared" si="34"/>
        <v>2</v>
      </c>
      <c r="U183" s="80">
        <f t="shared" si="35"/>
        <v>4</v>
      </c>
    </row>
    <row r="184" spans="1:21" x14ac:dyDescent="0.45">
      <c r="A184" s="139"/>
      <c r="B184" s="91" t="s">
        <v>49</v>
      </c>
      <c r="C184" s="80">
        <f>AM81-D184</f>
        <v>4</v>
      </c>
      <c r="D184" s="58">
        <f>ROUND(AM81/2,0)</f>
        <v>4</v>
      </c>
      <c r="E184" s="80">
        <f>AN81-F184</f>
        <v>1</v>
      </c>
      <c r="F184" s="58">
        <f>ROUND(AN81/2,0)</f>
        <v>1</v>
      </c>
      <c r="G184" s="80">
        <f>AO81-H184</f>
        <v>2</v>
      </c>
      <c r="H184" s="58">
        <f>ROUND(AO81/2,0)</f>
        <v>2</v>
      </c>
      <c r="I184" s="80">
        <f>AP81-J184</f>
        <v>1</v>
      </c>
      <c r="J184" s="58">
        <f>ROUND(AP81/2,0)</f>
        <v>1</v>
      </c>
      <c r="K184" s="80">
        <f>AQ81-L184</f>
        <v>2</v>
      </c>
      <c r="L184" s="58">
        <f>ROUND(AQ81/2,0)</f>
        <v>2</v>
      </c>
      <c r="M184" s="80">
        <f>AR81-N184</f>
        <v>1</v>
      </c>
      <c r="N184" s="58">
        <f>ROUND(AR81/2,0)</f>
        <v>1</v>
      </c>
      <c r="O184" s="80">
        <f>AS81-P184</f>
        <v>2</v>
      </c>
      <c r="P184" s="58">
        <f>ROUND(AS81/2,0)</f>
        <v>2</v>
      </c>
      <c r="Q184" s="45"/>
      <c r="R184" s="43"/>
      <c r="T184" s="80">
        <f t="shared" si="34"/>
        <v>3</v>
      </c>
      <c r="U184" s="80">
        <f t="shared" si="35"/>
        <v>6</v>
      </c>
    </row>
    <row r="185" spans="1:21" x14ac:dyDescent="0.45">
      <c r="A185" s="139"/>
      <c r="B185" s="91" t="s">
        <v>50</v>
      </c>
      <c r="C185" s="45"/>
      <c r="D185" s="43"/>
      <c r="E185" s="45"/>
      <c r="F185" s="43"/>
      <c r="G185" s="45"/>
      <c r="H185" s="43"/>
      <c r="I185" s="45"/>
      <c r="J185" s="73"/>
      <c r="K185" s="45"/>
      <c r="L185" s="43"/>
      <c r="M185" s="45"/>
      <c r="N185" s="43"/>
      <c r="O185" s="45"/>
      <c r="P185" s="43"/>
      <c r="Q185" s="45"/>
      <c r="R185" s="43"/>
      <c r="T185" s="45" t="str">
        <f t="shared" si="34"/>
        <v/>
      </c>
      <c r="U185" s="45" t="str">
        <f t="shared" si="35"/>
        <v/>
      </c>
    </row>
    <row r="186" spans="1:21" x14ac:dyDescent="0.45">
      <c r="A186" s="139" t="s">
        <v>51</v>
      </c>
      <c r="B186" s="91" t="s">
        <v>52</v>
      </c>
      <c r="C186" s="80">
        <f>AM83-D186</f>
        <v>1</v>
      </c>
      <c r="D186" s="58">
        <f>ROUND(AM83/2,0)</f>
        <v>2</v>
      </c>
      <c r="E186" s="80">
        <f>AN83-F186</f>
        <v>2</v>
      </c>
      <c r="F186" s="58">
        <f>ROUND(AN83/2,0)</f>
        <v>3</v>
      </c>
      <c r="G186" s="45"/>
      <c r="H186" s="43"/>
      <c r="I186" s="80">
        <f>AP83-J186</f>
        <v>2</v>
      </c>
      <c r="J186" s="58">
        <f>ROUND(AP83/2,0)</f>
        <v>2</v>
      </c>
      <c r="K186" s="45"/>
      <c r="L186" s="43"/>
      <c r="M186" s="80">
        <f>AR83-N186</f>
        <v>2</v>
      </c>
      <c r="N186" s="58">
        <f>ROUND(AR83/2,0)</f>
        <v>3</v>
      </c>
      <c r="O186" s="45"/>
      <c r="P186" s="43"/>
      <c r="Q186" s="45"/>
      <c r="R186" s="43"/>
      <c r="T186" s="80">
        <f t="shared" si="34"/>
        <v>1</v>
      </c>
      <c r="U186" s="45" t="str">
        <f t="shared" si="35"/>
        <v/>
      </c>
    </row>
    <row r="187" spans="1:21" ht="14.65" thickBot="1" x14ac:dyDescent="0.5">
      <c r="A187" s="140"/>
      <c r="B187" s="92" t="s">
        <v>53</v>
      </c>
      <c r="C187" s="81">
        <f>AM84-D187</f>
        <v>1</v>
      </c>
      <c r="D187" s="82">
        <f>ROUND(AM84/2,0)</f>
        <v>2</v>
      </c>
      <c r="E187" s="61"/>
      <c r="F187" s="48"/>
      <c r="G187" s="61"/>
      <c r="H187" s="48"/>
      <c r="I187" s="61"/>
      <c r="J187" s="75"/>
      <c r="K187" s="61"/>
      <c r="L187" s="48"/>
      <c r="M187" s="61"/>
      <c r="N187" s="48"/>
      <c r="O187" s="61"/>
      <c r="P187" s="48"/>
      <c r="Q187" s="61"/>
      <c r="R187" s="48"/>
      <c r="T187" s="45" t="str">
        <f t="shared" si="34"/>
        <v/>
      </c>
      <c r="U187" s="45" t="str">
        <f t="shared" si="35"/>
        <v/>
      </c>
    </row>
    <row r="189" spans="1:21" ht="14.65" thickBot="1" x14ac:dyDescent="0.5">
      <c r="C189" s="147" t="s">
        <v>39</v>
      </c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</row>
    <row r="190" spans="1:21" x14ac:dyDescent="0.45">
      <c r="A190" s="9" t="s">
        <v>3</v>
      </c>
      <c r="B190" s="89" t="s">
        <v>4</v>
      </c>
      <c r="C190" s="141" t="s">
        <v>62</v>
      </c>
      <c r="D190" s="142"/>
      <c r="E190" s="137" t="s">
        <v>75</v>
      </c>
      <c r="F190" s="137"/>
      <c r="G190" s="137" t="s">
        <v>76</v>
      </c>
      <c r="H190" s="137"/>
      <c r="I190" s="141" t="s">
        <v>77</v>
      </c>
      <c r="J190" s="142"/>
      <c r="K190" s="141" t="s">
        <v>78</v>
      </c>
      <c r="L190" s="142"/>
      <c r="M190" s="141" t="s">
        <v>79</v>
      </c>
      <c r="N190" s="142"/>
      <c r="O190" s="141" t="s">
        <v>80</v>
      </c>
      <c r="P190" s="142"/>
      <c r="Q190" s="141" t="s">
        <v>81</v>
      </c>
      <c r="R190" s="142"/>
      <c r="T190" s="137" t="s">
        <v>77</v>
      </c>
      <c r="U190" s="137" t="s">
        <v>78</v>
      </c>
    </row>
    <row r="191" spans="1:21" x14ac:dyDescent="0.45">
      <c r="A191" s="64"/>
      <c r="B191" s="90"/>
      <c r="C191" s="133" t="s">
        <v>82</v>
      </c>
      <c r="D191" s="132" t="s">
        <v>83</v>
      </c>
      <c r="E191" s="133" t="s">
        <v>82</v>
      </c>
      <c r="F191" s="132" t="s">
        <v>83</v>
      </c>
      <c r="G191" s="133" t="s">
        <v>82</v>
      </c>
      <c r="H191" s="132" t="s">
        <v>83</v>
      </c>
      <c r="I191" s="133" t="s">
        <v>82</v>
      </c>
      <c r="J191" s="132" t="s">
        <v>83</v>
      </c>
      <c r="K191" s="133" t="s">
        <v>82</v>
      </c>
      <c r="L191" s="132" t="s">
        <v>83</v>
      </c>
      <c r="M191" s="133" t="s">
        <v>82</v>
      </c>
      <c r="N191" s="132" t="s">
        <v>83</v>
      </c>
      <c r="O191" s="133" t="s">
        <v>82</v>
      </c>
      <c r="P191" s="132" t="s">
        <v>83</v>
      </c>
      <c r="Q191" s="133" t="s">
        <v>82</v>
      </c>
      <c r="R191" s="132" t="s">
        <v>83</v>
      </c>
      <c r="T191" s="137"/>
      <c r="U191" s="137"/>
    </row>
    <row r="192" spans="1:21" x14ac:dyDescent="0.45">
      <c r="A192" s="139" t="s">
        <v>10</v>
      </c>
      <c r="B192" s="91" t="s">
        <v>11</v>
      </c>
      <c r="C192" s="52"/>
      <c r="D192" s="41"/>
      <c r="E192" s="52"/>
      <c r="F192" s="83"/>
      <c r="G192" s="52"/>
      <c r="H192" s="41"/>
      <c r="I192" s="52"/>
      <c r="J192" s="83"/>
      <c r="K192" s="52"/>
      <c r="L192" s="41"/>
      <c r="M192" s="52"/>
      <c r="N192" s="83"/>
      <c r="O192" s="52"/>
      <c r="P192" s="41"/>
      <c r="Q192" s="52"/>
      <c r="R192" s="41"/>
      <c r="T192" s="45" t="str">
        <f t="shared" ref="T192:T206" si="36">IF(I192&lt;&gt;0,ROUNDUP(D6*0.05,0),"")</f>
        <v/>
      </c>
      <c r="U192" s="45" t="str">
        <f t="shared" ref="U192:U206" si="37">IF(K192&lt;&gt;0,IF(T192&lt;&gt;"",T192+ROUNDUP(D6*0.05,0),ROUNDUP(D6*0.05,0)),"")</f>
        <v/>
      </c>
    </row>
    <row r="193" spans="1:21" x14ac:dyDescent="0.45">
      <c r="A193" s="139"/>
      <c r="B193" s="91" t="s">
        <v>24</v>
      </c>
      <c r="C193" s="45"/>
      <c r="D193" s="43"/>
      <c r="E193" s="45"/>
      <c r="F193" s="73"/>
      <c r="G193" s="45"/>
      <c r="H193" s="43"/>
      <c r="I193" s="45"/>
      <c r="J193" s="73"/>
      <c r="K193" s="45"/>
      <c r="L193" s="43"/>
      <c r="M193" s="45"/>
      <c r="N193" s="73"/>
      <c r="O193" s="45"/>
      <c r="P193" s="43"/>
      <c r="Q193" s="45"/>
      <c r="R193" s="43"/>
      <c r="T193" s="45" t="str">
        <f t="shared" si="36"/>
        <v/>
      </c>
      <c r="U193" s="45" t="str">
        <f t="shared" si="37"/>
        <v/>
      </c>
    </row>
    <row r="194" spans="1:21" x14ac:dyDescent="0.45">
      <c r="A194" s="139"/>
      <c r="B194" s="91" t="s">
        <v>29</v>
      </c>
      <c r="C194" s="45"/>
      <c r="D194" s="43"/>
      <c r="E194" s="45"/>
      <c r="F194" s="73"/>
      <c r="G194" s="45"/>
      <c r="H194" s="43"/>
      <c r="I194" s="45"/>
      <c r="J194" s="73"/>
      <c r="K194" s="45"/>
      <c r="L194" s="43"/>
      <c r="M194" s="45"/>
      <c r="N194" s="73"/>
      <c r="O194" s="45"/>
      <c r="P194" s="43"/>
      <c r="Q194" s="45"/>
      <c r="R194" s="43"/>
      <c r="T194" s="45" t="str">
        <f t="shared" si="36"/>
        <v/>
      </c>
      <c r="U194" s="45" t="str">
        <f t="shared" si="37"/>
        <v/>
      </c>
    </row>
    <row r="195" spans="1:21" x14ac:dyDescent="0.45">
      <c r="A195" s="139"/>
      <c r="B195" s="91" t="s">
        <v>31</v>
      </c>
      <c r="C195" s="45"/>
      <c r="D195" s="43"/>
      <c r="E195" s="45"/>
      <c r="F195" s="73"/>
      <c r="G195" s="45"/>
      <c r="H195" s="43"/>
      <c r="I195" s="45"/>
      <c r="J195" s="73"/>
      <c r="K195" s="45"/>
      <c r="L195" s="43"/>
      <c r="M195" s="45"/>
      <c r="N195" s="73"/>
      <c r="O195" s="45"/>
      <c r="P195" s="43"/>
      <c r="Q195" s="45"/>
      <c r="R195" s="43"/>
      <c r="T195" s="45" t="str">
        <f t="shared" si="36"/>
        <v/>
      </c>
      <c r="U195" s="45" t="str">
        <f t="shared" si="37"/>
        <v/>
      </c>
    </row>
    <row r="196" spans="1:21" x14ac:dyDescent="0.45">
      <c r="A196" s="139" t="s">
        <v>33</v>
      </c>
      <c r="B196" s="91" t="s">
        <v>34</v>
      </c>
      <c r="C196" s="45"/>
      <c r="D196" s="43"/>
      <c r="E196" s="45"/>
      <c r="F196" s="73"/>
      <c r="G196" s="45"/>
      <c r="H196" s="43"/>
      <c r="I196" s="45"/>
      <c r="J196" s="73"/>
      <c r="K196" s="45"/>
      <c r="L196" s="43"/>
      <c r="M196" s="45"/>
      <c r="N196" s="73"/>
      <c r="O196" s="45"/>
      <c r="P196" s="43"/>
      <c r="Q196" s="45"/>
      <c r="R196" s="43"/>
      <c r="T196" s="45" t="str">
        <f t="shared" si="36"/>
        <v/>
      </c>
      <c r="U196" s="45" t="str">
        <f t="shared" si="37"/>
        <v/>
      </c>
    </row>
    <row r="197" spans="1:21" x14ac:dyDescent="0.45">
      <c r="A197" s="139"/>
      <c r="B197" s="91" t="s">
        <v>36</v>
      </c>
      <c r="C197" s="45"/>
      <c r="D197" s="43"/>
      <c r="E197" s="45"/>
      <c r="F197" s="73"/>
      <c r="G197" s="45"/>
      <c r="H197" s="43"/>
      <c r="I197" s="45"/>
      <c r="J197" s="73"/>
      <c r="K197" s="45"/>
      <c r="L197" s="43"/>
      <c r="M197" s="45"/>
      <c r="N197" s="73"/>
      <c r="O197" s="45"/>
      <c r="P197" s="43"/>
      <c r="Q197" s="45"/>
      <c r="R197" s="43"/>
      <c r="T197" s="45" t="str">
        <f t="shared" si="36"/>
        <v/>
      </c>
      <c r="U197" s="45" t="str">
        <f t="shared" si="37"/>
        <v/>
      </c>
    </row>
    <row r="198" spans="1:21" x14ac:dyDescent="0.45">
      <c r="A198" s="139"/>
      <c r="B198" s="91" t="s">
        <v>38</v>
      </c>
      <c r="C198" s="45"/>
      <c r="D198" s="43"/>
      <c r="E198" s="45"/>
      <c r="F198" s="73"/>
      <c r="G198" s="45"/>
      <c r="H198" s="43"/>
      <c r="I198" s="45"/>
      <c r="J198" s="73"/>
      <c r="K198" s="45"/>
      <c r="L198" s="43"/>
      <c r="M198" s="45"/>
      <c r="N198" s="73"/>
      <c r="O198" s="45"/>
      <c r="P198" s="43"/>
      <c r="Q198" s="45"/>
      <c r="R198" s="43"/>
      <c r="T198" s="45" t="str">
        <f t="shared" si="36"/>
        <v/>
      </c>
      <c r="U198" s="45" t="str">
        <f t="shared" si="37"/>
        <v/>
      </c>
    </row>
    <row r="199" spans="1:21" x14ac:dyDescent="0.45">
      <c r="A199" s="139"/>
      <c r="B199" s="91" t="s">
        <v>40</v>
      </c>
      <c r="C199" s="45"/>
      <c r="D199" s="43"/>
      <c r="E199" s="45"/>
      <c r="F199" s="73"/>
      <c r="G199" s="45"/>
      <c r="H199" s="43"/>
      <c r="I199" s="45"/>
      <c r="J199" s="73"/>
      <c r="K199" s="45"/>
      <c r="L199" s="43"/>
      <c r="M199" s="45"/>
      <c r="N199" s="73"/>
      <c r="O199" s="45"/>
      <c r="P199" s="43"/>
      <c r="Q199" s="45"/>
      <c r="R199" s="43"/>
      <c r="T199" s="45" t="str">
        <f t="shared" si="36"/>
        <v/>
      </c>
      <c r="U199" s="45" t="str">
        <f t="shared" si="37"/>
        <v/>
      </c>
    </row>
    <row r="200" spans="1:21" x14ac:dyDescent="0.45">
      <c r="A200" s="14" t="s">
        <v>41</v>
      </c>
      <c r="B200" s="91" t="s">
        <v>42</v>
      </c>
      <c r="C200" s="45"/>
      <c r="D200" s="43"/>
      <c r="E200" s="45"/>
      <c r="F200" s="73"/>
      <c r="G200" s="45"/>
      <c r="H200" s="43"/>
      <c r="I200" s="45"/>
      <c r="J200" s="73"/>
      <c r="K200" s="45"/>
      <c r="L200" s="43"/>
      <c r="M200" s="45"/>
      <c r="N200" s="73"/>
      <c r="O200" s="45"/>
      <c r="P200" s="43"/>
      <c r="Q200" s="45"/>
      <c r="R200" s="43"/>
      <c r="T200" s="45" t="str">
        <f t="shared" si="36"/>
        <v/>
      </c>
      <c r="U200" s="45" t="str">
        <f t="shared" si="37"/>
        <v/>
      </c>
    </row>
    <row r="201" spans="1:21" x14ac:dyDescent="0.45">
      <c r="A201" s="139" t="s">
        <v>45</v>
      </c>
      <c r="B201" s="91" t="s">
        <v>46</v>
      </c>
      <c r="C201" s="80">
        <f>AV79-D201</f>
        <v>2</v>
      </c>
      <c r="D201" s="58">
        <f>ROUND(AV79/2,0)</f>
        <v>2</v>
      </c>
      <c r="E201" s="80">
        <f>AW79-F201</f>
        <v>1</v>
      </c>
      <c r="F201" s="58">
        <f>ROUND(AW79/2,0)</f>
        <v>2</v>
      </c>
      <c r="G201" s="80">
        <f>AX79-H201</f>
        <v>2</v>
      </c>
      <c r="H201" s="58">
        <f>ROUND(AX79/2,0)</f>
        <v>3</v>
      </c>
      <c r="I201" s="80">
        <f>AY79-J201</f>
        <v>1</v>
      </c>
      <c r="J201" s="58">
        <f>ROUND(AY79/2,0)</f>
        <v>1</v>
      </c>
      <c r="K201" s="45"/>
      <c r="L201" s="43"/>
      <c r="M201" s="80">
        <f>BA79-N201</f>
        <v>1</v>
      </c>
      <c r="N201" s="58">
        <f>ROUND(BA79/2,0)</f>
        <v>2</v>
      </c>
      <c r="O201" s="80">
        <f>BB79-P201</f>
        <v>3</v>
      </c>
      <c r="P201" s="58">
        <f>ROUND(BB79/2,0)</f>
        <v>3</v>
      </c>
      <c r="Q201" s="45"/>
      <c r="R201" s="43"/>
      <c r="T201" s="80">
        <f t="shared" si="36"/>
        <v>1</v>
      </c>
      <c r="U201" s="45" t="str">
        <f t="shared" si="37"/>
        <v/>
      </c>
    </row>
    <row r="202" spans="1:21" x14ac:dyDescent="0.45">
      <c r="A202" s="139"/>
      <c r="B202" s="91" t="s">
        <v>48</v>
      </c>
      <c r="C202" s="45"/>
      <c r="D202" s="43"/>
      <c r="E202" s="45"/>
      <c r="F202" s="73"/>
      <c r="G202" s="45"/>
      <c r="H202" s="43"/>
      <c r="I202" s="45"/>
      <c r="J202" s="73"/>
      <c r="K202" s="45"/>
      <c r="L202" s="43"/>
      <c r="M202" s="45"/>
      <c r="N202" s="73"/>
      <c r="O202" s="45"/>
      <c r="P202" s="43"/>
      <c r="Q202" s="45"/>
      <c r="R202" s="43"/>
      <c r="T202" s="45" t="str">
        <f t="shared" si="36"/>
        <v/>
      </c>
      <c r="U202" s="45" t="str">
        <f t="shared" si="37"/>
        <v/>
      </c>
    </row>
    <row r="203" spans="1:21" x14ac:dyDescent="0.45">
      <c r="A203" s="139"/>
      <c r="B203" s="91" t="s">
        <v>49</v>
      </c>
      <c r="C203" s="45"/>
      <c r="D203" s="43"/>
      <c r="E203" s="45"/>
      <c r="F203" s="73"/>
      <c r="G203" s="45"/>
      <c r="H203" s="43"/>
      <c r="I203" s="45"/>
      <c r="J203" s="73"/>
      <c r="K203" s="45"/>
      <c r="L203" s="43"/>
      <c r="M203" s="45"/>
      <c r="N203" s="73"/>
      <c r="O203" s="45"/>
      <c r="P203" s="43"/>
      <c r="Q203" s="45"/>
      <c r="R203" s="43"/>
      <c r="T203" s="45" t="str">
        <f t="shared" si="36"/>
        <v/>
      </c>
      <c r="U203" s="45" t="str">
        <f t="shared" si="37"/>
        <v/>
      </c>
    </row>
    <row r="204" spans="1:21" x14ac:dyDescent="0.45">
      <c r="A204" s="139"/>
      <c r="B204" s="91" t="s">
        <v>50</v>
      </c>
      <c r="C204" s="80">
        <f>AV82-D204</f>
        <v>3</v>
      </c>
      <c r="D204" s="58">
        <f>ROUND(AV82/2,0)</f>
        <v>3</v>
      </c>
      <c r="E204" s="80">
        <f>AW82-F204</f>
        <v>1</v>
      </c>
      <c r="F204" s="58">
        <f>ROUND(AW82/2,0)</f>
        <v>2</v>
      </c>
      <c r="G204" s="80">
        <f>AX82-H204</f>
        <v>2</v>
      </c>
      <c r="H204" s="58">
        <f>ROUND(AX82/2,0)</f>
        <v>3</v>
      </c>
      <c r="I204" s="80">
        <f>AY82-J204</f>
        <v>1</v>
      </c>
      <c r="J204" s="58">
        <f>ROUND(AY82/2,0)</f>
        <v>2</v>
      </c>
      <c r="K204" s="80">
        <f>AZ82-L204</f>
        <v>2</v>
      </c>
      <c r="L204" s="58">
        <f>ROUND(AZ82/2,0)</f>
        <v>3</v>
      </c>
      <c r="M204" s="80">
        <f>BA82-N204</f>
        <v>1</v>
      </c>
      <c r="N204" s="58">
        <f>ROUND(BA82/2,0)</f>
        <v>2</v>
      </c>
      <c r="O204" s="80">
        <f>BB82-P204</f>
        <v>3</v>
      </c>
      <c r="P204" s="58">
        <f>ROUND(BB82/2,0)</f>
        <v>3</v>
      </c>
      <c r="Q204" s="45"/>
      <c r="R204" s="43"/>
      <c r="T204" s="80">
        <f t="shared" si="36"/>
        <v>3</v>
      </c>
      <c r="U204" s="80">
        <f t="shared" si="37"/>
        <v>6</v>
      </c>
    </row>
    <row r="205" spans="1:21" x14ac:dyDescent="0.45">
      <c r="A205" s="139" t="s">
        <v>51</v>
      </c>
      <c r="B205" s="91" t="s">
        <v>52</v>
      </c>
      <c r="C205" s="80">
        <f>AV83-D205</f>
        <v>3</v>
      </c>
      <c r="D205" s="58">
        <f>ROUND(AV83/2,0)</f>
        <v>3</v>
      </c>
      <c r="E205" s="80">
        <f>AW83-F205</f>
        <v>2</v>
      </c>
      <c r="F205" s="58">
        <f>ROUND(AW83/2,0)</f>
        <v>3</v>
      </c>
      <c r="G205" s="45"/>
      <c r="H205" s="43"/>
      <c r="I205" s="80">
        <f>AY83-J205</f>
        <v>2</v>
      </c>
      <c r="J205" s="58">
        <f>ROUND(AY83/2,0)</f>
        <v>3</v>
      </c>
      <c r="K205" s="45"/>
      <c r="L205" s="43"/>
      <c r="M205" s="80">
        <f>BA83-N205</f>
        <v>1</v>
      </c>
      <c r="N205" s="58">
        <f>ROUND(BA83/2,0)</f>
        <v>2</v>
      </c>
      <c r="O205" s="45"/>
      <c r="P205" s="43"/>
      <c r="Q205" s="45"/>
      <c r="R205" s="43"/>
      <c r="T205" s="80">
        <f t="shared" si="36"/>
        <v>1</v>
      </c>
      <c r="U205" s="45" t="str">
        <f t="shared" si="37"/>
        <v/>
      </c>
    </row>
    <row r="206" spans="1:21" ht="14.65" thickBot="1" x14ac:dyDescent="0.5">
      <c r="A206" s="140"/>
      <c r="B206" s="92" t="s">
        <v>53</v>
      </c>
      <c r="C206" s="81">
        <f>AV84-D206</f>
        <v>2</v>
      </c>
      <c r="D206" s="82">
        <f>ROUND(AV84/2,0)</f>
        <v>2</v>
      </c>
      <c r="E206" s="61"/>
      <c r="F206" s="48"/>
      <c r="G206" s="61"/>
      <c r="H206" s="48"/>
      <c r="I206" s="61"/>
      <c r="J206" s="75"/>
      <c r="K206" s="61"/>
      <c r="L206" s="48"/>
      <c r="M206" s="61"/>
      <c r="N206" s="75"/>
      <c r="O206" s="61"/>
      <c r="P206" s="48"/>
      <c r="Q206" s="61"/>
      <c r="R206" s="48"/>
      <c r="T206" s="45" t="str">
        <f t="shared" si="36"/>
        <v/>
      </c>
      <c r="U206" s="45" t="str">
        <f t="shared" si="37"/>
        <v/>
      </c>
    </row>
  </sheetData>
  <mergeCells count="235">
    <mergeCell ref="V6:X6"/>
    <mergeCell ref="AB14:AD14"/>
    <mergeCell ref="AB15:AD15"/>
    <mergeCell ref="AB16:AD16"/>
    <mergeCell ref="AB17:AD17"/>
    <mergeCell ref="AB18:AD18"/>
    <mergeCell ref="AB19:AD19"/>
    <mergeCell ref="AB20:AD20"/>
    <mergeCell ref="AB21:AD21"/>
    <mergeCell ref="AB6:AD6"/>
    <mergeCell ref="AB7:AD7"/>
    <mergeCell ref="AB8:AD8"/>
    <mergeCell ref="AB9:AD9"/>
    <mergeCell ref="AB10:AD10"/>
    <mergeCell ref="AB11:AD11"/>
    <mergeCell ref="AB12:AD12"/>
    <mergeCell ref="AB13:AD13"/>
    <mergeCell ref="O152:P152"/>
    <mergeCell ref="Q6:R6"/>
    <mergeCell ref="L14:M14"/>
    <mergeCell ref="S6:T6"/>
    <mergeCell ref="C190:D190"/>
    <mergeCell ref="E190:F190"/>
    <mergeCell ref="G190:H190"/>
    <mergeCell ref="I190:J190"/>
    <mergeCell ref="K190:L190"/>
    <mergeCell ref="M190:N190"/>
    <mergeCell ref="O190:P190"/>
    <mergeCell ref="I171:J171"/>
    <mergeCell ref="K171:L171"/>
    <mergeCell ref="M171:N171"/>
    <mergeCell ref="O171:P171"/>
    <mergeCell ref="E171:F171"/>
    <mergeCell ref="G171:H171"/>
    <mergeCell ref="E95:F95"/>
    <mergeCell ref="G95:H95"/>
    <mergeCell ref="I95:J95"/>
    <mergeCell ref="K95:L95"/>
    <mergeCell ref="C114:D114"/>
    <mergeCell ref="G114:H114"/>
    <mergeCell ref="I114:J114"/>
    <mergeCell ref="E114:F114"/>
    <mergeCell ref="K114:L114"/>
    <mergeCell ref="C133:D133"/>
    <mergeCell ref="E133:F133"/>
    <mergeCell ref="K133:L133"/>
    <mergeCell ref="Q114:R114"/>
    <mergeCell ref="C113:R113"/>
    <mergeCell ref="M133:N133"/>
    <mergeCell ref="O133:P133"/>
    <mergeCell ref="Q133:R133"/>
    <mergeCell ref="G133:H133"/>
    <mergeCell ref="C132:R132"/>
    <mergeCell ref="I133:J133"/>
    <mergeCell ref="M114:N114"/>
    <mergeCell ref="O114:P114"/>
    <mergeCell ref="C95:D95"/>
    <mergeCell ref="C94:R94"/>
    <mergeCell ref="A97:A100"/>
    <mergeCell ref="A101:A104"/>
    <mergeCell ref="A106:A109"/>
    <mergeCell ref="A110:A111"/>
    <mergeCell ref="M95:N95"/>
    <mergeCell ref="O95:P95"/>
    <mergeCell ref="Q95:R95"/>
    <mergeCell ref="A6:A9"/>
    <mergeCell ref="A10:A13"/>
    <mergeCell ref="A28:A31"/>
    <mergeCell ref="A15:A18"/>
    <mergeCell ref="A19:A20"/>
    <mergeCell ref="H5:J5"/>
    <mergeCell ref="H7:I7"/>
    <mergeCell ref="H8:I8"/>
    <mergeCell ref="H9:I9"/>
    <mergeCell ref="H10:I10"/>
    <mergeCell ref="H11:I11"/>
    <mergeCell ref="H12:I12"/>
    <mergeCell ref="H14:I14"/>
    <mergeCell ref="H6:J6"/>
    <mergeCell ref="H15:I15"/>
    <mergeCell ref="I26:L26"/>
    <mergeCell ref="M26:P26"/>
    <mergeCell ref="Q26:T26"/>
    <mergeCell ref="U26:X26"/>
    <mergeCell ref="Y26:AB26"/>
    <mergeCell ref="A32:A35"/>
    <mergeCell ref="A37:A40"/>
    <mergeCell ref="A41:A42"/>
    <mergeCell ref="E26:H26"/>
    <mergeCell ref="C26:D26"/>
    <mergeCell ref="U46:X46"/>
    <mergeCell ref="Y46:AB46"/>
    <mergeCell ref="A48:A51"/>
    <mergeCell ref="A52:A55"/>
    <mergeCell ref="A57:A60"/>
    <mergeCell ref="C46:D46"/>
    <mergeCell ref="E46:H46"/>
    <mergeCell ref="I46:L46"/>
    <mergeCell ref="M46:P46"/>
    <mergeCell ref="Q46:T46"/>
    <mergeCell ref="A74:A77"/>
    <mergeCell ref="A79:A82"/>
    <mergeCell ref="A83:A84"/>
    <mergeCell ref="D85:E85"/>
    <mergeCell ref="D86:E86"/>
    <mergeCell ref="A61:A62"/>
    <mergeCell ref="H69:J69"/>
    <mergeCell ref="F69:G69"/>
    <mergeCell ref="D69:E69"/>
    <mergeCell ref="C68:J68"/>
    <mergeCell ref="A70:A73"/>
    <mergeCell ref="K68:K84"/>
    <mergeCell ref="D88:E88"/>
    <mergeCell ref="F88:G88"/>
    <mergeCell ref="H88:J88"/>
    <mergeCell ref="M69:N69"/>
    <mergeCell ref="O69:P69"/>
    <mergeCell ref="M86:N86"/>
    <mergeCell ref="O86:P86"/>
    <mergeCell ref="M87:N87"/>
    <mergeCell ref="O87:P87"/>
    <mergeCell ref="M88:N88"/>
    <mergeCell ref="O88:P88"/>
    <mergeCell ref="F85:G85"/>
    <mergeCell ref="F86:G86"/>
    <mergeCell ref="F87:G87"/>
    <mergeCell ref="H85:J85"/>
    <mergeCell ref="H86:J86"/>
    <mergeCell ref="H87:J87"/>
    <mergeCell ref="D87:E87"/>
    <mergeCell ref="AC68:AC84"/>
    <mergeCell ref="X85:Y85"/>
    <mergeCell ref="X86:Y86"/>
    <mergeCell ref="X87:Y87"/>
    <mergeCell ref="X88:Y88"/>
    <mergeCell ref="Q86:R86"/>
    <mergeCell ref="Q87:R87"/>
    <mergeCell ref="Q88:R88"/>
    <mergeCell ref="T68:T84"/>
    <mergeCell ref="X69:Y69"/>
    <mergeCell ref="Q69:R69"/>
    <mergeCell ref="L68:R68"/>
    <mergeCell ref="M85:N85"/>
    <mergeCell ref="O85:P85"/>
    <mergeCell ref="Q85:R85"/>
    <mergeCell ref="U68:AB68"/>
    <mergeCell ref="V69:W69"/>
    <mergeCell ref="AN88:AO88"/>
    <mergeCell ref="AP88:AQ88"/>
    <mergeCell ref="AR88:AS88"/>
    <mergeCell ref="AR69:AS69"/>
    <mergeCell ref="AN85:AO85"/>
    <mergeCell ref="AP85:AQ85"/>
    <mergeCell ref="AR85:AS85"/>
    <mergeCell ref="AG87:AH87"/>
    <mergeCell ref="AG88:AH88"/>
    <mergeCell ref="AL68:AL84"/>
    <mergeCell ref="AN69:AO69"/>
    <mergeCell ref="AP69:AQ69"/>
    <mergeCell ref="AN86:AO86"/>
    <mergeCell ref="AP86:AQ86"/>
    <mergeCell ref="AG69:AH69"/>
    <mergeCell ref="AG85:AH85"/>
    <mergeCell ref="AG86:AH86"/>
    <mergeCell ref="AD68:AK68"/>
    <mergeCell ref="AI69:AK69"/>
    <mergeCell ref="AE69:AF69"/>
    <mergeCell ref="AU68:AU84"/>
    <mergeCell ref="AW69:AX69"/>
    <mergeCell ref="AY69:AZ69"/>
    <mergeCell ref="BA69:BB69"/>
    <mergeCell ref="AR86:AS86"/>
    <mergeCell ref="AN87:AO87"/>
    <mergeCell ref="AP87:AQ87"/>
    <mergeCell ref="AR87:AS87"/>
    <mergeCell ref="BD68:BD84"/>
    <mergeCell ref="AW87:AX87"/>
    <mergeCell ref="AY87:AZ87"/>
    <mergeCell ref="BA87:BB87"/>
    <mergeCell ref="AV68:BC68"/>
    <mergeCell ref="AM68:AT68"/>
    <mergeCell ref="AW88:AX88"/>
    <mergeCell ref="AY88:AZ88"/>
    <mergeCell ref="BA88:BB88"/>
    <mergeCell ref="AW85:AX85"/>
    <mergeCell ref="AY85:AZ85"/>
    <mergeCell ref="BA85:BB85"/>
    <mergeCell ref="AW86:AX86"/>
    <mergeCell ref="AY86:AZ86"/>
    <mergeCell ref="BA86:BB86"/>
    <mergeCell ref="A116:A119"/>
    <mergeCell ref="A120:A123"/>
    <mergeCell ref="A125:A128"/>
    <mergeCell ref="A129:A130"/>
    <mergeCell ref="A135:A138"/>
    <mergeCell ref="A139:A142"/>
    <mergeCell ref="A144:A147"/>
    <mergeCell ref="A148:A149"/>
    <mergeCell ref="A154:A157"/>
    <mergeCell ref="A192:A195"/>
    <mergeCell ref="A196:A199"/>
    <mergeCell ref="A201:A204"/>
    <mergeCell ref="A205:A206"/>
    <mergeCell ref="Q152:R152"/>
    <mergeCell ref="G152:H152"/>
    <mergeCell ref="C151:R151"/>
    <mergeCell ref="Q171:R171"/>
    <mergeCell ref="Q190:R190"/>
    <mergeCell ref="C189:R189"/>
    <mergeCell ref="C170:R170"/>
    <mergeCell ref="A158:A161"/>
    <mergeCell ref="A163:A166"/>
    <mergeCell ref="A167:A168"/>
    <mergeCell ref="A173:A176"/>
    <mergeCell ref="A177:A180"/>
    <mergeCell ref="A182:A185"/>
    <mergeCell ref="A186:A187"/>
    <mergeCell ref="C152:D152"/>
    <mergeCell ref="E152:F152"/>
    <mergeCell ref="I152:J152"/>
    <mergeCell ref="K152:L152"/>
    <mergeCell ref="M152:N152"/>
    <mergeCell ref="C171:D171"/>
    <mergeCell ref="T171:T172"/>
    <mergeCell ref="U171:U172"/>
    <mergeCell ref="T190:T191"/>
    <mergeCell ref="U190:U191"/>
    <mergeCell ref="T95:T96"/>
    <mergeCell ref="U95:U96"/>
    <mergeCell ref="T114:T115"/>
    <mergeCell ref="U114:U115"/>
    <mergeCell ref="T133:T134"/>
    <mergeCell ref="U133:U134"/>
    <mergeCell ref="T152:T153"/>
    <mergeCell ref="U152:U15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epu</dc:creator>
  <cp:keywords/>
  <dc:description/>
  <cp:lastModifiedBy>Gaetan</cp:lastModifiedBy>
  <cp:revision/>
  <dcterms:created xsi:type="dcterms:W3CDTF">2019-01-28T10:38:52Z</dcterms:created>
  <dcterms:modified xsi:type="dcterms:W3CDTF">2019-12-11T13:34:25Z</dcterms:modified>
  <cp:category/>
  <cp:contentStatus/>
</cp:coreProperties>
</file>